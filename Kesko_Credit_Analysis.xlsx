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BITDA_Analysis" sheetId="2" state="visible" r:id="rId4"/>
    <sheet name="Leverage_Ratios" sheetId="3" state="visible" r:id="rId5"/>
    <sheet name="Interest_Coverage" sheetId="4" state="visible" r:id="rId6"/>
    <sheet name="Debt_Structure" sheetId="5" state="visible" r:id="rId7"/>
    <sheet name="Covenants" sheetId="6" state="visible" r:id="rId8"/>
    <sheet name="Maximum_Debt" sheetId="7" state="visible" r:id="rId9"/>
    <sheet name="Pricing_Gri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<sst xmlns="http://schemas.openxmlformats.org/spreadsheetml/2006/main" count="363" uniqueCount="259">
  <si>
    <t xml:space="preserve">GBENGA QUADRI</t>
  </si>
  <si>
    <t xml:space="preserve">CFA Candidate  |  Credit Analysis &amp; Leveraged Finance</t>
  </si>
  <si>
    <t xml:space="preserve">KESKO CORPORATION</t>
  </si>
  <si>
    <t xml:space="preserve">Credit Analysis &amp; Debt Capacity Model</t>
  </si>
  <si>
    <t xml:space="preserve">OMX Helsinki: KESKOB  |  Implied Rating: BBB+ / Baa1</t>
  </si>
  <si>
    <t xml:space="preserve">CREDIT ASSESSMENT: INVESTMENT GRADE — STRONG</t>
  </si>
  <si>
    <t xml:space="preserve">Maximum incremental debt capacity: EUR 1,300-1,800M before downgrade risk</t>
  </si>
  <si>
    <t xml:space="preserve">Key Credit Metrics (FY2025):</t>
  </si>
  <si>
    <t xml:space="preserve">Net Debt / EBITDA (excl. leases): 0.8x — well within IG thresholds</t>
  </si>
  <si>
    <t xml:space="preserve">Total Debt / EBITDA (incl. IFRS 16): 3.1x — typical for lease-heavy retail</t>
  </si>
  <si>
    <t xml:space="preserve">Interest Coverage (EBITDA / Interest): 9.9x — strong</t>
  </si>
  <si>
    <t xml:space="preserve">Free Cash Flow: EUR 350M+ — ample debt service capacity</t>
  </si>
  <si>
    <t xml:space="preserve">Existing Debt: EUR 1,345M financial debt + EUR 2,151M lease liabilities</t>
  </si>
  <si>
    <t xml:space="preserve">Maturity Profile: EUR 150M (2026), EUR 350M (2027), EUR 300M (2030), EUR 150M (2031)</t>
  </si>
  <si>
    <t xml:space="preserve">Model Architecture (8 Sheets):</t>
  </si>
  <si>
    <t xml:space="preserve">1. Cover — Credit assessment summary</t>
  </si>
  <si>
    <t xml:space="preserve">2. EBITDA Analysis — 3yr historical + 3yr projected with margin trends</t>
  </si>
  <si>
    <t xml:space="preserve">3. Leverage Ratios — ND/EBITDA, Total Debt/EBITDA, industry benchmarks</t>
  </si>
  <si>
    <t xml:space="preserve">4. Interest Coverage — EBITDA/Interest, EBIT/Interest, FCF coverage</t>
  </si>
  <si>
    <t xml:space="preserve">5. Debt Structure — Senior secured, unsecured, subordinated, leases</t>
  </si>
  <si>
    <t xml:space="preserve">6. Covenants — Financial maintenance tests with headroom analysis</t>
  </si>
  <si>
    <t xml:space="preserve">7. Maximum Debt — Incremental capacity at IG and HY thresholds</t>
  </si>
  <si>
    <t xml:space="preserve">8. Pricing Grid — Interest rate spread at different leverage levels</t>
  </si>
  <si>
    <t xml:space="preserve">CFI Standard: Blue = Inputs | Black = Formulas | Green = Cross-sheet | Yellow = Key assumptions</t>
  </si>
  <si>
    <t xml:space="preserve">All figures in EUR millions unless stated.</t>
  </si>
  <si>
    <t xml:space="preserve">PREPARED BY: GBENGA QUADRI CFA CANDIDATE</t>
  </si>
  <si>
    <t xml:space="preserve">March 2026</t>
  </si>
  <si>
    <t xml:space="preserve">EBITDA ANALYSIS — HISTORICAL &amp; PROJECTED</t>
  </si>
  <si>
    <t xml:space="preserve">GBENGA QUADRI CFA CANDIDATE</t>
  </si>
  <si>
    <t xml:space="preserve">All figures in EUR M</t>
  </si>
  <si>
    <t xml:space="preserve">Unit</t>
  </si>
  <si>
    <t xml:space="preserve">2023A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</si>
  <si>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</si>
  <si>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</si>
  <si>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</si>
  <si>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</si>
  <si>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</si>
  <si>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REVENUE BUILD</t>
  </si>
  <si>
    <t xml:space="preserve">  Grocery Trade</t>
  </si>
  <si>
    <t xml:space="preserve">EUR M</t>
  </si>
  <si>
    <t xml:space="preserve">  Building &amp; Technical Trade</t>
  </si>
  <si>
    <t xml:space="preserve">  Car Trade</t>
  </si>
  <si>
    <t xml:space="preserve">  Eliminations</t>
  </si>
  <si>
    <t xml:space="preserve">Total Net Sales</t>
  </si>
  <si>
    <t xml:space="preserve">  Revenue Growth</t>
  </si>
  <si>
    <t xml:space="preserve">%</t>
  </si>
  <si>
    <t xml:space="preserve">EBITDA BUILD</t>
  </si>
  <si>
    <t xml:space="preserve">Gross Profit</t>
  </si>
  <si>
    <t xml:space="preserve">  Gross Margin</t>
  </si>
  <si>
    <t xml:space="preserve">SG&amp;A + Other OpEx</t>
  </si>
  <si>
    <t xml:space="preserve">Other Operating Items</t>
  </si>
  <si>
    <t xml:space="preserve">EBITDA (incl. IFRS 16)</t>
  </si>
  <si>
    <t xml:space="preserve">  EBITDA Margin</t>
  </si>
  <si>
    <t xml:space="preserve">  EBITDA Growth</t>
  </si>
  <si>
    <t xml:space="preserve">D&amp;A (incl. IFRS 16)</t>
  </si>
  <si>
    <t xml:space="preserve">Comparable Operating Profit</t>
  </si>
  <si>
    <t xml:space="preserve">Net Finance Costs</t>
  </si>
  <si>
    <t xml:space="preserve">CapEx</t>
  </si>
  <si>
    <t xml:space="preserve">Change in NWC</t>
  </si>
  <si>
    <t xml:space="preserve">Tax Paid</t>
  </si>
  <si>
    <t xml:space="preserve">Free Cash Flow</t>
  </si>
  <si>
    <t xml:space="preserve">Model follows CFI Financial Modeling Best Practices &amp; Financial Modeling Guidelines</t>
  </si>
  <si>
    <t xml:space="preserve">GBENGA QUADRI CFA CANDIDATE  |  March 2026</t>
  </si>
  <si>
    <t xml:space="preserve">LEVERAGE RATIO ANALYSIS</t>
  </si>
  <si>
    <t xml:space="preserve">Threshold</t>
  </si>
  <si>
    <t xml:space="preserve">DEBT BALANCES</t>
  </si>
  <si>
    <t xml:space="preserve">Financial Debt (excl. leases)</t>
  </si>
  <si>
    <t xml:space="preserve">  Bonds</t>
  </si>
  <si>
    <t xml:space="preserve">  Bank Term Loans</t>
  </si>
  <si>
    <t xml:space="preserve">  Other Financial Debt</t>
  </si>
  <si>
    <t xml:space="preserve">IFRS 16 Lease Liabilities</t>
  </si>
  <si>
    <t xml:space="preserve">Total Debt (incl. leases)</t>
  </si>
  <si>
    <t xml:space="preserve">Cash &amp; Equivalents</t>
  </si>
  <si>
    <t xml:space="preserve">Net Debt (excl. leases)</t>
  </si>
  <si>
    <t xml:space="preserve">Net Debt (incl. leases)</t>
  </si>
  <si>
    <t xml:space="preserve">KEY LEVERAGE RATIOS</t>
  </si>
  <si>
    <t xml:space="preserve">EBITDA</t>
  </si>
  <si>
    <t xml:space="preserve">Net Debt / EBITDA (excl. leases)</t>
  </si>
  <si>
    <t xml:space="preserve">x</t>
  </si>
  <si>
    <t xml:space="preserve">&lt; 2.5x (IG)</t>
  </si>
  <si>
    <t xml:space="preserve">Total Debt / EBITDA (incl. leases)</t>
  </si>
  <si>
    <t xml:space="preserve">&lt; 4.0x (IG retail)</t>
  </si>
  <si>
    <t xml:space="preserve">Net Debt / EBITDA (incl. leases)</t>
  </si>
  <si>
    <t xml:space="preserve">&lt; 3.5x (IG retail)</t>
  </si>
  <si>
    <t xml:space="preserve">Gross Debt / EBITDA</t>
  </si>
  <si>
    <t xml:space="preserve">INDUSTRY LEVERAGE BENCHMARKS</t>
  </si>
  <si>
    <t xml:space="preserve">Kesko (current)</t>
  </si>
  <si>
    <t xml:space="preserve">0.8x</t>
  </si>
  <si>
    <t xml:space="preserve">3.1x</t>
  </si>
  <si>
    <t xml:space="preserve">BBB+ / Baa1 implied</t>
  </si>
  <si>
    <t xml:space="preserve">Ahold Delhaize</t>
  </si>
  <si>
    <t xml:space="preserve">1.7x</t>
  </si>
  <si>
    <t xml:space="preserve">2.8x</t>
  </si>
  <si>
    <t xml:space="preserve">BBB / Baa1</t>
  </si>
  <si>
    <t xml:space="preserve">Tesco PLC</t>
  </si>
  <si>
    <t xml:space="preserve">2.4x</t>
  </si>
  <si>
    <t xml:space="preserve">3.5x</t>
  </si>
  <si>
    <t xml:space="preserve">BBB- / Baa3</t>
  </si>
  <si>
    <t xml:space="preserve">Carrefour SA</t>
  </si>
  <si>
    <t xml:space="preserve">2.3x</t>
  </si>
  <si>
    <t xml:space="preserve">3.8x</t>
  </si>
  <si>
    <t xml:space="preserve">Axfood AB</t>
  </si>
  <si>
    <t xml:space="preserve">2.2x</t>
  </si>
  <si>
    <t xml:space="preserve">Not rated (implied A-)</t>
  </si>
  <si>
    <t xml:space="preserve">European Grocery Median</t>
  </si>
  <si>
    <t xml:space="preserve">1.8x</t>
  </si>
  <si>
    <t xml:space="preserve">3.2x</t>
  </si>
  <si>
    <t xml:space="preserve">BBB / Baa2</t>
  </si>
  <si>
    <t xml:space="preserve">INTEREST COVERAGE ANALYSIS</t>
  </si>
  <si>
    <t xml:space="preserve">Min. Threshold</t>
  </si>
  <si>
    <t xml:space="preserve">EBIT</t>
  </si>
  <si>
    <t xml:space="preserve">Net Interest Expense</t>
  </si>
  <si>
    <t xml:space="preserve">  of which: Lease Interest (est.)</t>
  </si>
  <si>
    <t xml:space="preserve">  of which: Financial Debt Interest</t>
  </si>
  <si>
    <t xml:space="preserve">COVERAGE RATIOS</t>
  </si>
  <si>
    <t xml:space="preserve">EBITDA / Total Interest</t>
  </si>
  <si>
    <t xml:space="preserve">&gt; 4.0x (IG min)</t>
  </si>
  <si>
    <t xml:space="preserve">EBITDA / Financial Interest Only</t>
  </si>
  <si>
    <t xml:space="preserve">&gt; 6.0x (strong IG)</t>
  </si>
  <si>
    <t xml:space="preserve">EBIT / Total Interest</t>
  </si>
  <si>
    <t xml:space="preserve">&gt; 2.5x (IG min)</t>
  </si>
  <si>
    <t xml:space="preserve">FCF / Total Interest</t>
  </si>
  <si>
    <t xml:space="preserve">&gt; 2.0x (adequate)</t>
  </si>
  <si>
    <t xml:space="preserve">FCF / Total Debt Service</t>
  </si>
  <si>
    <t xml:space="preserve">&gt; 1.0x (min)</t>
  </si>
  <si>
    <t xml:space="preserve">  Scheduled Repayments</t>
  </si>
  <si>
    <t xml:space="preserve">COVERAGE ASSESSMENT</t>
  </si>
  <si>
    <t xml:space="preserve">EBITDA / Interest: WELL ABOVE IG minimum at 9-13x</t>
  </si>
  <si>
    <t xml:space="preserve">EBIT / Interest: ABOVE IG minimum at 5-7x</t>
  </si>
  <si>
    <t xml:space="preserve">FCF / Total Debt Service: Watch 2027E — EUR 350M maturity wall</t>
  </si>
  <si>
    <t xml:space="preserve">Conclusion: Strong coverage across all metrics; 2027 maturity needs refinancing plan</t>
  </si>
  <si>
    <t xml:space="preserve">DEBT STRUCTURE &amp; MATURITY PROFILE</t>
  </si>
  <si>
    <t xml:space="preserve">Instrument</t>
  </si>
  <si>
    <t xml:space="preserve">Amount
(EUR M)</t>
  </si>
  <si>
    <t xml:space="preserve">Coupon /
Rate</t>
  </si>
  <si>
    <t xml:space="preserve">Maturity</t>
  </si>
  <si>
    <t xml:space="preserve">Security</t>
  </si>
  <si>
    <t xml:space="preserve">Notes</t>
  </si>
  <si>
    <t xml:space="preserve">SENIOR SECURED</t>
  </si>
  <si>
    <t xml:space="preserve">  NIB Sustainability-Linked Loan</t>
  </si>
  <si>
    <t xml:space="preserve">3.25%</t>
  </si>
  <si>
    <t xml:space="preserve">2031</t>
  </si>
  <si>
    <t xml:space="preserve">Secured</t>
  </si>
  <si>
    <t xml:space="preserve">EUR 150M 7yr; margin tied to ESG targets</t>
  </si>
  <si>
    <t xml:space="preserve">  Revolving Credit Facility (undrawn)</t>
  </si>
  <si>
    <t xml:space="preserve">Euribor+85bps</t>
  </si>
  <si>
    <t xml:space="preserve">2028</t>
  </si>
  <si>
    <t xml:space="preserve">EUR 400M committed; fully undrawn</t>
  </si>
  <si>
    <t xml:space="preserve">SENIOR UNSECURED</t>
  </si>
  <si>
    <t xml:space="preserve">  Green Notes (Sep 2024)</t>
  </si>
  <si>
    <t xml:space="preserve">3.50%</t>
  </si>
  <si>
    <t xml:space="preserve">Feb 2030</t>
  </si>
  <si>
    <t xml:space="preserve">Unsecured</t>
  </si>
  <si>
    <t xml:space="preserve">EUR 300M; annual coupon; green bond framework</t>
  </si>
  <si>
    <t xml:space="preserve">  Term Loan Facility A</t>
  </si>
  <si>
    <t xml:space="preserve">Euribor+110bps</t>
  </si>
  <si>
    <t xml:space="preserve">2026</t>
  </si>
  <si>
    <t xml:space="preserve">Maturing 2026; refinancing needed</t>
  </si>
  <si>
    <t xml:space="preserve">  Term Loan Facility B</t>
  </si>
  <si>
    <t xml:space="preserve">Euribor+120bps</t>
  </si>
  <si>
    <t xml:space="preserve">2027</t>
  </si>
  <si>
    <t xml:space="preserve">Part of EUR 350M 2027 maturity wall</t>
  </si>
  <si>
    <t xml:space="preserve">  Term Loan Facility C</t>
  </si>
  <si>
    <t xml:space="preserve">Euribor+130bps</t>
  </si>
  <si>
    <t xml:space="preserve">  Bond (legacy)</t>
  </si>
  <si>
    <t xml:space="preserve">2.875%</t>
  </si>
  <si>
    <t xml:space="preserve">Maturing 2026; refinancing at higher rate expected</t>
  </si>
  <si>
    <t xml:space="preserve">  Other Bank Debt</t>
  </si>
  <si>
    <t xml:space="preserve">Various</t>
  </si>
  <si>
    <t xml:space="preserve">Bilateral facilities; Finnish banks</t>
  </si>
  <si>
    <t xml:space="preserve">SUBORDINATED / HYBRID</t>
  </si>
  <si>
    <t xml:space="preserve">  None</t>
  </si>
  <si>
    <t xml:space="preserve">N/A</t>
  </si>
  <si>
    <t xml:space="preserve">No subordinated or hybrid instruments</t>
  </si>
  <si>
    <t xml:space="preserve">LEASE LIABILITIES (IFRS 16)</t>
  </si>
  <si>
    <t xml:space="preserve">  Right-of-Use Lease Obligations</t>
  </si>
  <si>
    <t xml:space="preserve">Implicit ~3.0%</t>
  </si>
  <si>
    <t xml:space="preserve">Operating</t>
  </si>
  <si>
    <t xml:space="preserve">Store leases, warehouses, offices; avg ~8yr tenor</t>
  </si>
  <si>
    <t xml:space="preserve">DEBT SUMMARY</t>
  </si>
  <si>
    <t xml:space="preserve">Total Financial Debt</t>
  </si>
  <si>
    <t xml:space="preserve">Total Lease Liabilities</t>
  </si>
  <si>
    <t xml:space="preserve">Total Debt (Financial + Leases)</t>
  </si>
  <si>
    <t xml:space="preserve">Undrawn RCF Capacity</t>
  </si>
  <si>
    <t xml:space="preserve">Total Available Liquidity</t>
  </si>
  <si>
    <t xml:space="preserve">MATURITY WALL</t>
  </si>
  <si>
    <t xml:space="preserve">2029</t>
  </si>
  <si>
    <t xml:space="preserve">2030</t>
  </si>
  <si>
    <t xml:space="preserve">2031+</t>
  </si>
  <si>
    <t xml:space="preserve">WARNING: EUR 450M matures in 2026, EUR 350M in 2027</t>
  </si>
  <si>
    <t xml:space="preserve">Recommendation: Initiate refinancing of 2026 maturities immediately</t>
  </si>
  <si>
    <t xml:space="preserve">FINANCIAL COVENANT ANALYSIS</t>
  </si>
  <si>
    <t xml:space="preserve">Covenant Test</t>
  </si>
  <si>
    <t xml:space="preserve">Covenant
Limit</t>
  </si>
  <si>
    <t xml:space="preserve">2025A
Actual</t>
  </si>
  <si>
    <t xml:space="preserve">2026E
Projected</t>
  </si>
  <si>
    <t xml:space="preserve">2027E
Projected</t>
  </si>
  <si>
    <t xml:space="preserve">Headroom
(2025A)</t>
  </si>
  <si>
    <t xml:space="preserve">Interest Coverage (EBITDA/Int)</t>
  </si>
  <si>
    <t xml:space="preserve">Minimum EBITDA</t>
  </si>
  <si>
    <t xml:space="preserve">Maximum CapEx</t>
  </si>
  <si>
    <t xml:space="preserve">Dividend Restriction</t>
  </si>
  <si>
    <t xml:space="preserve">COMPLIANCE STATUS</t>
  </si>
  <si>
    <t xml:space="preserve">All covenants comfortably met. Significant headroom on all tests.</t>
  </si>
  <si>
    <t xml:space="preserve">ND/EBITDA headroom of ~2.7x means Kesko could take on substantial additional debt</t>
  </si>
  <si>
    <t xml:space="preserve">before approaching covenant limits.</t>
  </si>
  <si>
    <t xml:space="preserve">MAXIMUM DEBT CAPACITY ANALYSIS</t>
  </si>
  <si>
    <t xml:space="preserve">Conservative
(Maintain A-)</t>
  </si>
  <si>
    <t xml:space="preserve">Base Case
(Maintain BBB)</t>
  </si>
  <si>
    <t xml:space="preserve">Aggressive
(BBB- Floor)</t>
  </si>
  <si>
    <t xml:space="preserve">TARGET LEVERAGE</t>
  </si>
  <si>
    <t xml:space="preserve">Target ND/EBITDA (excl. leases)</t>
  </si>
  <si>
    <t xml:space="preserve">FY2025 EBITDA</t>
  </si>
  <si>
    <t xml:space="preserve">Maximum Net Debt (excl. leases)</t>
  </si>
  <si>
    <t xml:space="preserve">Current Net Debt (excl. leases)</t>
  </si>
  <si>
    <t xml:space="preserve">INCREMENTAL DEBT CAPACITY</t>
  </si>
  <si>
    <t xml:space="preserve">SENSITIVITY: DEBT CAPACITY BY EBITDA LEVEL</t>
  </si>
  <si>
    <t xml:space="preserve">EBITDA (EUR M)</t>
  </si>
  <si>
    <t xml:space="preserve">At 1.5x</t>
  </si>
  <si>
    <t xml:space="preserve">At 2.0x</t>
  </si>
  <si>
    <t xml:space="preserve">At 2.5x</t>
  </si>
  <si>
    <t xml:space="preserve">POTENTIAL USES OF INCREMENTAL CAPACITY (BASE CASE: EUR ~1,400M)</t>
  </si>
  <si>
    <t xml:space="preserve">M&amp;A (e.g., Tokmanni at 70% cash)</t>
  </si>
  <si>
    <t xml:space="preserve">Per M&amp;A model; EUR 662M equity + fees</t>
  </si>
  <si>
    <t xml:space="preserve">Accelerated CapEx (logistics)</t>
  </si>
  <si>
    <t xml:space="preserve">Hyvinkaa-scale investment</t>
  </si>
  <si>
    <t xml:space="preserve">Share Buyback Programme</t>
  </si>
  <si>
    <t xml:space="preserve">Opportunistic repurchases</t>
  </si>
  <si>
    <t xml:space="preserve">Refinancing Buffer</t>
  </si>
  <si>
    <t xml:space="preserve">Pre-fund 2026/2027 maturities</t>
  </si>
  <si>
    <t xml:space="preserve">DEBT PRICING GRID</t>
  </si>
  <si>
    <t xml:space="preserve">INDICATIVE SPREAD GRID (bps over Euribor / Mid-Swap)</t>
  </si>
  <si>
    <t xml:space="preserve">ND/EBITDA</t>
  </si>
  <si>
    <t xml:space="preserve">Senior
Secured
5yr</t>
  </si>
  <si>
    <t xml:space="preserve">Senior
Unsecured
5yr</t>
  </si>
  <si>
    <t xml:space="preserve">Senior
Unsecured
7yr</t>
  </si>
  <si>
    <t xml:space="preserve">Senior
Unsecured
10yr</t>
  </si>
  <si>
    <t xml:space="preserve">Implied
Rating</t>
  </si>
  <si>
    <t xml:space="preserve">A / A2</t>
  </si>
  <si>
    <t xml:space="preserve">A- / A3</t>
  </si>
  <si>
    <t xml:space="preserve">BBB+ / Baa1</t>
  </si>
  <si>
    <t xml:space="preserve">BB+ / Ba1</t>
  </si>
  <si>
    <t xml:space="preserve">BB / Ba2</t>
  </si>
  <si>
    <t xml:space="preserve">BB- / Ba3</t>
  </si>
  <si>
    <t xml:space="preserve">KESKO CURRENT COST OF DEBT</t>
  </si>
  <si>
    <t xml:space="preserve">Current ND/EBITDA</t>
  </si>
  <si>
    <t xml:space="preserve">Weighted Avg Cost</t>
  </si>
  <si>
    <t xml:space="preserve">After-Tax Cost</t>
  </si>
  <si>
    <t xml:space="preserve">Tax Rate</t>
  </si>
  <si>
    <t xml:space="preserve">REFINANCING COST ESTIMATE (2026-2027 MATURITIES)</t>
  </si>
  <si>
    <t xml:space="preserve">Amount to Refinance</t>
  </si>
  <si>
    <t xml:space="preserve">Assumed Tenor</t>
  </si>
  <si>
    <t xml:space="preserve">5-7 years</t>
  </si>
  <si>
    <t xml:space="preserve">Current Euribor (3M)</t>
  </si>
  <si>
    <t xml:space="preserve">Estimated Spread</t>
  </si>
  <si>
    <t xml:space="preserve">All-in Refinancing Rate</t>
  </si>
  <si>
    <t xml:space="preserve">Annual Interest Cost</t>
  </si>
  <si>
    <t xml:space="preserve">vs. Maturing Debt Avg Rate</t>
  </si>
  <si>
    <t xml:space="preserve">Incremental Annual Cost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</si>
</sst>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0.0\x"/>
    <numFmt numFmtId="168" formatCode="@"/>
    <numFmt numFmtId="169" formatCode="0&quot; bps&quot;"/>
    <numFmt numFmtId="170" formatCode="0.00%"/>
    <numFmt numFmtId="171" formatCode="#,##0.0;\(#,##0.0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B8CCE4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4"/>
      <color rgb="FF0066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.5"/>
      <color rgb="FF333333"/>
      <name val="Arial"/>
      <family val="0"/>
      <charset val="1"/>
    </font>
    <font>
      <sz val="7"/>
      <color rgb="FF666666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7"/>
      <color rgb="FF99999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6600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9"/>
      <color rgb="FF9966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EC"/>
      </patternFill>
    </fill>
    <fill>
      <patternFill patternType="solid">
        <fgColor rgb="FFE8F0FE"/>
        <bgColor rgb="FFE2EFDA"/>
      </patternFill>
    </fill>
    <fill>
      <patternFill patternType="solid">
        <fgColor rgb="FFFCE4EC"/>
        <bgColor rgb="FFFFF2CC"/>
      </patternFill>
    </fill>
    <fill>
      <patternFill patternType="solid">
        <fgColor rgb="FFE2EFDA"/>
        <bgColor rgb="FFE8F0FE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9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9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996600"/>
      <rgbColor rgb="FF800080"/>
      <rgbColor rgb="FF008080"/>
      <rgbColor rgb="FFC0C0C0"/>
      <rgbColor rgb="FF808080"/>
      <rgbColor rgb="FF9999FF"/>
      <rgbColor rgb="FF7030A0"/>
      <rgbColor rgb="FFFFF2CC"/>
      <rgbColor rgb="FFE8F0FE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CE4EC"/>
      <rgbColor rgb="FF4472C4"/>
      <rgbColor rgb="FF33CCCC"/>
      <rgbColor rgb="FF70AD47"/>
      <rgbColor rgb="FFFFCC00"/>
      <rgbColor rgb="FFFF9900"/>
      <rgbColor rgb="FFED7D31"/>
      <rgbColor rgb="FF666666"/>
      <rgbColor rgb="FF999999"/>
      <rgbColor rgb="FF003366"/>
      <rgbColor rgb="FF00B050"/>
      <rgbColor rgb="FF0066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4.45" hidden="false" customHeight="false" outlineLevel="0" collapsed="false">
      <c r="A2" s="1"/>
      <c r="B2" s="2" t="s">
        <v>0</v>
      </c>
      <c r="C2" s="1"/>
      <c r="D2" s="1"/>
    </row>
    <row r="3" customFormat="false" ht="15" hidden="false" customHeight="false" outlineLevel="0" collapsed="false">
      <c r="A3" s="1"/>
      <c r="B3" s="3" t="s">
        <v>1</v>
      </c>
      <c r="C3" s="1"/>
      <c r="D3" s="1"/>
    </row>
    <row r="5" customFormat="false" ht="17.3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6" t="s">
        <v>4</v>
      </c>
    </row>
    <row r="9" customFormat="false" ht="17.35" hidden="false" customHeight="false" outlineLevel="0" collapsed="false">
      <c r="B9" s="7" t="s">
        <v>5</v>
      </c>
    </row>
    <row r="10" customFormat="false" ht="15" hidden="false" customHeight="false" outlineLevel="0" collapsed="false">
      <c r="B10" s="8" t="s">
        <v>6</v>
      </c>
    </row>
    <row r="12" customFormat="false" ht="15" hidden="false" customHeight="false" outlineLevel="0" collapsed="false">
      <c r="B12" s="9" t="s">
        <v>7</v>
      </c>
    </row>
    <row r="13" customFormat="false" ht="15" hidden="false" customHeight="false" outlineLevel="0" collapsed="false">
      <c r="B13" s="10" t="s">
        <v>8</v>
      </c>
    </row>
    <row r="14" customFormat="false" ht="15" hidden="false" customHeight="false" outlineLevel="0" collapsed="false">
      <c r="B14" s="10" t="s">
        <v>9</v>
      </c>
    </row>
    <row r="15" customFormat="false" ht="15" hidden="false" customHeight="false" outlineLevel="0" collapsed="false">
      <c r="B15" s="10" t="s">
        <v>10</v>
      </c>
    </row>
    <row r="16" customFormat="false" ht="15" hidden="false" customHeight="false" outlineLevel="0" collapsed="false">
      <c r="B16" s="10" t="s">
        <v>11</v>
      </c>
    </row>
    <row r="17" customFormat="false" ht="15" hidden="false" customHeight="false" outlineLevel="0" collapsed="false">
      <c r="B17" s="10" t="s">
        <v>12</v>
      </c>
    </row>
    <row r="18" customFormat="false" ht="15" hidden="false" customHeight="false" outlineLevel="0" collapsed="false">
      <c r="B18" s="10" t="s">
        <v>13</v>
      </c>
    </row>
    <row r="21" customFormat="false" ht="15" hidden="false" customHeight="false" outlineLevel="0" collapsed="false">
      <c r="B21" s="9" t="s">
        <v>14</v>
      </c>
    </row>
    <row r="22" customFormat="false" ht="15" hidden="false" customHeight="false" outlineLevel="0" collapsed="false">
      <c r="B22" s="10" t="s">
        <v>15</v>
      </c>
    </row>
    <row r="23" customFormat="false" ht="15" hidden="false" customHeight="false" outlineLevel="0" collapsed="false">
      <c r="B23" s="10" t="s">
        <v>16</v>
      </c>
    </row>
    <row r="24" customFormat="false" ht="15" hidden="false" customHeight="false" outlineLevel="0" collapsed="false">
      <c r="B24" s="10" t="s">
        <v>17</v>
      </c>
    </row>
    <row r="25" customFormat="false" ht="15" hidden="false" customHeight="false" outlineLevel="0" collapsed="false">
      <c r="B25" s="10" t="s">
        <v>18</v>
      </c>
    </row>
    <row r="26" customFormat="false" ht="15" hidden="false" customHeight="false" outlineLevel="0" collapsed="false">
      <c r="B26" s="10" t="s">
        <v>19</v>
      </c>
    </row>
    <row r="27" customFormat="false" ht="15" hidden="false" customHeight="false" outlineLevel="0" collapsed="false">
      <c r="B27" s="10" t="s">
        <v>20</v>
      </c>
    </row>
    <row r="28" customFormat="false" ht="15" hidden="false" customHeight="false" outlineLevel="0" collapsed="false">
      <c r="B28" s="10" t="s">
        <v>21</v>
      </c>
    </row>
    <row r="29" customFormat="false" ht="15" hidden="false" customHeight="false" outlineLevel="0" collapsed="false">
      <c r="B29" s="10" t="s">
        <v>22</v>
      </c>
    </row>
    <row r="31" customFormat="false" ht="15" hidden="false" customHeight="false" outlineLevel="0" collapsed="false">
      <c r="B31" s="11" t="s">
        <v>23</v>
      </c>
    </row>
    <row r="32" customFormat="false" ht="15" hidden="false" customHeight="false" outlineLevel="0" collapsed="false">
      <c r="B32" s="11" t="s">
        <v>24</v>
      </c>
    </row>
    <row r="34" customFormat="false" ht="16.15" hidden="false" customHeight="false" outlineLevel="0" collapsed="false">
      <c r="B34" s="12" t="s">
        <v>25</v>
      </c>
    </row>
    <row r="35" customFormat="false" ht="15" hidden="false" customHeight="false" outlineLevel="0" collapsed="false">
      <c r="B35" s="1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8" min="3" style="0" width="14"/>
  </cols>
  <sheetData>
    <row r="1" customFormat="false" ht="17.35" hidden="false" customHeight="false" outlineLevel="0" collapsed="false">
      <c r="A1" s="4" t="s">
        <v>27</v>
      </c>
    </row>
    <row r="2" customFormat="false" ht="15" hidden="false" customHeight="false" outlineLevel="0" collapsed="false">
      <c r="A2" s="14" t="s">
        <v>28</v>
      </c>
      <c r="E2" s="13" t="s">
        <v>29</v>
      </c>
    </row>
    <row r="4" customFormat="false" ht="19.5" hidden="false" customHeight="true" outlineLevel="0" collapsed="false">
      <c r="A4" s="15"/>
      <c r="B4" s="16" t="s">
        <v>30</v>
      </c>
      <c r="C4" s="16" t="s">
        <v>31</v>
      </c>
      <c r="D4" s="16" t="s">
        <v>32</v>
      </c>
      <c r="E4" s="16" t="s">
        <v>33</v>
      </c>
      <c r="F4" s="16" t="s">
        <v>34</v>
      </c>
      <c r="G4" s="16" t="s">
        <v>35</v>
      </c>
      <c r="H4" s="16" t="s">
        <v>36</v>
      </c>
    </row>
    <row r="5" customFormat="false" ht="15" hidden="false" customHeight="false" outlineLevel="0" collapsed="false">
      <c r="A5" s="17" t="s">
        <v>37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customFormat="false" ht="15" hidden="false" customHeight="false" outlineLevel="0" collapsed="false">
      <c r="A6" s="19" t="s">
        <v>38</v>
      </c>
      <c r="B6" s="13" t="s">
        <v>39</v>
      </c>
      <c r="C6" s="20" t="n">
        <v>6106</v>
      </c>
      <c r="D6" s="20" t="n">
        <v>6245</v>
      </c>
      <c r="E6" s="20" t="n">
        <v>6669</v>
      </c>
      <c r="F6" s="21" t="n">
        <v>6869</v>
      </c>
      <c r="G6" s="21" t="n">
        <v>7075</v>
      </c>
      <c r="H6" s="21" t="n">
        <v>7287</v>
      </c>
    </row>
    <row r="7" customFormat="false" ht="15" hidden="false" customHeight="false" outlineLevel="0" collapsed="false">
      <c r="A7" s="19" t="s">
        <v>40</v>
      </c>
      <c r="B7" s="13" t="s">
        <v>39</v>
      </c>
      <c r="C7" s="20" t="n">
        <v>4509</v>
      </c>
      <c r="D7" s="20" t="n">
        <v>4147</v>
      </c>
      <c r="E7" s="20" t="n">
        <v>4462</v>
      </c>
      <c r="F7" s="21" t="n">
        <v>4596</v>
      </c>
      <c r="G7" s="21" t="n">
        <v>4781</v>
      </c>
      <c r="H7" s="21" t="n">
        <v>4972</v>
      </c>
    </row>
    <row r="8" customFormat="false" ht="15" hidden="false" customHeight="false" outlineLevel="0" collapsed="false">
      <c r="A8" s="19" t="s">
        <v>41</v>
      </c>
      <c r="B8" s="13" t="s">
        <v>39</v>
      </c>
      <c r="C8" s="20" t="n">
        <v>1338</v>
      </c>
      <c r="D8" s="20" t="n">
        <v>1287</v>
      </c>
      <c r="E8" s="20" t="n">
        <v>1366</v>
      </c>
      <c r="F8" s="21" t="n">
        <v>1407</v>
      </c>
      <c r="G8" s="21" t="n">
        <v>1449</v>
      </c>
      <c r="H8" s="21" t="n">
        <v>1493</v>
      </c>
    </row>
    <row r="9" customFormat="false" ht="15" hidden="false" customHeight="false" outlineLevel="0" collapsed="false">
      <c r="A9" s="22" t="s">
        <v>42</v>
      </c>
      <c r="B9" s="23" t="s">
        <v>39</v>
      </c>
      <c r="C9" s="24" t="n">
        <v>-75</v>
      </c>
      <c r="D9" s="24" t="n">
        <v>-68</v>
      </c>
      <c r="E9" s="24" t="n">
        <v>-72</v>
      </c>
      <c r="F9" s="25" t="n">
        <v>-73</v>
      </c>
      <c r="G9" s="25" t="n">
        <v>-75</v>
      </c>
      <c r="H9" s="25" t="n">
        <v>-77</v>
      </c>
    </row>
    <row r="10" customFormat="false" ht="15" hidden="false" customHeight="false" outlineLevel="0" collapsed="false">
      <c r="A10" s="9" t="s">
        <v>43</v>
      </c>
      <c r="B10" s="13" t="s">
        <v>39</v>
      </c>
      <c r="C10" s="26" t="n">
        <f aca="false">SUM(C6:C9)</f>
        <v>11878</v>
      </c>
      <c r="D10" s="26" t="n">
        <f aca="false">SUM(D6:D9)</f>
        <v>11611</v>
      </c>
      <c r="E10" s="26" t="n">
        <f aca="false">SUM(E6:E9)</f>
        <v>12425</v>
      </c>
      <c r="F10" s="26" t="n">
        <f aca="false">SUM(F6:F9)</f>
        <v>12799</v>
      </c>
      <c r="G10" s="26" t="n">
        <f aca="false">SUM(G6:G9)</f>
        <v>13230</v>
      </c>
      <c r="H10" s="26" t="n">
        <f aca="false">SUM(H6:H9)</f>
        <v>13675</v>
      </c>
    </row>
    <row r="11" customFormat="false" ht="15" hidden="false" customHeight="false" outlineLevel="0" collapsed="false">
      <c r="A11" s="19" t="s">
        <v>44</v>
      </c>
      <c r="B11" s="13" t="s">
        <v>45</v>
      </c>
      <c r="D11" s="27" t="n">
        <f aca="false">D10/C10-1</f>
        <v>-0.0224785317393501</v>
      </c>
      <c r="E11" s="27" t="n">
        <f aca="false">E10/D10-1</f>
        <v>0.0701059340280767</v>
      </c>
      <c r="F11" s="27" t="n">
        <f aca="false">F10/E10-1</f>
        <v>0.0301006036217304</v>
      </c>
      <c r="G11" s="27" t="n">
        <f aca="false">G10/F10-1</f>
        <v>0.0336745058207673</v>
      </c>
      <c r="H11" s="27" t="n">
        <f aca="false">H10/G10-1</f>
        <v>0.0336356764928194</v>
      </c>
    </row>
    <row r="13" customFormat="false" ht="15" hidden="false" customHeight="false" outlineLevel="0" collapsed="false">
      <c r="A13" s="17" t="s">
        <v>46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customFormat="false" ht="15" hidden="false" customHeight="false" outlineLevel="0" collapsed="false">
      <c r="A14" s="19" t="s">
        <v>47</v>
      </c>
      <c r="B14" s="13" t="s">
        <v>39</v>
      </c>
      <c r="C14" s="20" t="n">
        <v>1650</v>
      </c>
      <c r="D14" s="20" t="n">
        <v>1720</v>
      </c>
      <c r="E14" s="20" t="n">
        <v>1795</v>
      </c>
      <c r="F14" s="21" t="n">
        <v>1868</v>
      </c>
      <c r="G14" s="21" t="n">
        <v>1952</v>
      </c>
      <c r="H14" s="21" t="n">
        <v>2040</v>
      </c>
    </row>
    <row r="15" customFormat="false" ht="15" hidden="false" customHeight="false" outlineLevel="0" collapsed="false">
      <c r="A15" s="19" t="s">
        <v>48</v>
      </c>
      <c r="B15" s="13" t="s">
        <v>45</v>
      </c>
      <c r="C15" s="27" t="n">
        <f aca="false">C14/C10</f>
        <v>0.138912274793736</v>
      </c>
      <c r="D15" s="27" t="n">
        <f aca="false">D14/D10</f>
        <v>0.148135388855396</v>
      </c>
      <c r="E15" s="27" t="n">
        <f aca="false">E14/E10</f>
        <v>0.144466800804829</v>
      </c>
      <c r="F15" s="27" t="n">
        <f aca="false">F14/F10</f>
        <v>0.145948902257989</v>
      </c>
      <c r="G15" s="27" t="n">
        <f aca="false">G14/G10</f>
        <v>0.147543461829176</v>
      </c>
      <c r="H15" s="27" t="n">
        <f aca="false">H14/H10</f>
        <v>0.149177330895795</v>
      </c>
    </row>
    <row r="16" customFormat="false" ht="15" hidden="false" customHeight="false" outlineLevel="0" collapsed="false">
      <c r="A16" s="19" t="s">
        <v>49</v>
      </c>
      <c r="B16" s="13" t="s">
        <v>39</v>
      </c>
      <c r="C16" s="20" t="n">
        <v>-580</v>
      </c>
      <c r="D16" s="20" t="n">
        <v>-600</v>
      </c>
      <c r="E16" s="20" t="n">
        <v>-640</v>
      </c>
      <c r="F16" s="21" t="n">
        <v>-655</v>
      </c>
      <c r="G16" s="21" t="n">
        <v>-670</v>
      </c>
      <c r="H16" s="21" t="n">
        <v>-685</v>
      </c>
    </row>
    <row r="17" customFormat="false" ht="15" hidden="false" customHeight="false" outlineLevel="0" collapsed="false">
      <c r="A17" s="19" t="s">
        <v>50</v>
      </c>
      <c r="B17" s="13" t="s">
        <v>39</v>
      </c>
      <c r="C17" s="20" t="n">
        <v>-20</v>
      </c>
      <c r="D17" s="20" t="n">
        <v>-15</v>
      </c>
      <c r="E17" s="20" t="n">
        <v>-20</v>
      </c>
      <c r="F17" s="21" t="n">
        <v>-15</v>
      </c>
      <c r="G17" s="21" t="n">
        <v>-15</v>
      </c>
      <c r="H17" s="21" t="n">
        <v>-15</v>
      </c>
    </row>
    <row r="18" customFormat="false" ht="15" hidden="false" customHeight="false" outlineLevel="0" collapsed="false">
      <c r="A18" s="28" t="s">
        <v>51</v>
      </c>
      <c r="B18" s="29" t="s">
        <v>39</v>
      </c>
      <c r="C18" s="30" t="n">
        <v>1050</v>
      </c>
      <c r="D18" s="30" t="n">
        <v>1105</v>
      </c>
      <c r="E18" s="30" t="n">
        <v>1135</v>
      </c>
      <c r="F18" s="31" t="n">
        <v>1198</v>
      </c>
      <c r="G18" s="31" t="n">
        <v>1267</v>
      </c>
      <c r="H18" s="31" t="n">
        <v>1340</v>
      </c>
    </row>
    <row r="19" customFormat="false" ht="15" hidden="false" customHeight="false" outlineLevel="0" collapsed="false">
      <c r="A19" s="19" t="s">
        <v>52</v>
      </c>
      <c r="B19" s="13" t="s">
        <v>45</v>
      </c>
      <c r="C19" s="27" t="n">
        <f aca="false">C18/C10</f>
        <v>0.0883987203232867</v>
      </c>
      <c r="D19" s="27" t="n">
        <f aca="false">D18/D10</f>
        <v>0.0951683748169839</v>
      </c>
      <c r="E19" s="27" t="n">
        <f aca="false">E18/E10</f>
        <v>0.0913480885311871</v>
      </c>
      <c r="F19" s="27" t="n">
        <f aca="false">F18/F10</f>
        <v>0.0936010625830143</v>
      </c>
      <c r="G19" s="27" t="n">
        <f aca="false">G18/G10</f>
        <v>0.0957671957671958</v>
      </c>
      <c r="H19" s="27" t="n">
        <f aca="false">H18/H10</f>
        <v>0.0979890310786106</v>
      </c>
    </row>
    <row r="20" customFormat="false" ht="15" hidden="false" customHeight="false" outlineLevel="0" collapsed="false">
      <c r="A20" s="19" t="s">
        <v>53</v>
      </c>
      <c r="B20" s="13" t="s">
        <v>45</v>
      </c>
      <c r="D20" s="27" t="n">
        <f aca="false">D18/C18-1</f>
        <v>0.0523809523809524</v>
      </c>
      <c r="E20" s="27" t="n">
        <f aca="false">E18/D18-1</f>
        <v>0.0271493212669682</v>
      </c>
      <c r="F20" s="27" t="n">
        <f aca="false">F18/E18-1</f>
        <v>0.0555066079295155</v>
      </c>
      <c r="G20" s="27" t="n">
        <f aca="false">G18/F18-1</f>
        <v>0.0575959933222037</v>
      </c>
      <c r="H20" s="27" t="n">
        <f aca="false">H18/G18-1</f>
        <v>0.0576164167324389</v>
      </c>
    </row>
    <row r="22" customFormat="false" ht="15" hidden="false" customHeight="false" outlineLevel="0" collapsed="false">
      <c r="A22" s="19" t="s">
        <v>54</v>
      </c>
      <c r="B22" s="13" t="s">
        <v>39</v>
      </c>
      <c r="C22" s="20" t="n">
        <v>-430</v>
      </c>
      <c r="D22" s="20" t="n">
        <v>-455</v>
      </c>
      <c r="E22" s="20" t="n">
        <v>-480</v>
      </c>
      <c r="F22" s="21" t="n">
        <v>-490</v>
      </c>
      <c r="G22" s="21" t="n">
        <v>-500</v>
      </c>
      <c r="H22" s="21" t="n">
        <v>-510</v>
      </c>
    </row>
    <row r="23" customFormat="false" ht="15" hidden="false" customHeight="false" outlineLevel="0" collapsed="false">
      <c r="A23" s="9" t="s">
        <v>55</v>
      </c>
      <c r="C23" s="26" t="n">
        <f aca="false">C18+C22</f>
        <v>620</v>
      </c>
      <c r="D23" s="26" t="n">
        <f aca="false">D18+D22</f>
        <v>650</v>
      </c>
      <c r="E23" s="26" t="n">
        <f aca="false">E18+E22</f>
        <v>655</v>
      </c>
      <c r="F23" s="26" t="n">
        <f aca="false">F18+F22</f>
        <v>708</v>
      </c>
      <c r="G23" s="26" t="n">
        <f aca="false">G18+G22</f>
        <v>767</v>
      </c>
      <c r="H23" s="26" t="n">
        <f aca="false">H18+H22</f>
        <v>830</v>
      </c>
    </row>
    <row r="25" customFormat="false" ht="15" hidden="false" customHeight="false" outlineLevel="0" collapsed="false">
      <c r="A25" s="19" t="s">
        <v>56</v>
      </c>
      <c r="C25" s="20" t="n">
        <v>-105</v>
      </c>
      <c r="D25" s="20" t="n">
        <v>-110</v>
      </c>
      <c r="E25" s="20" t="n">
        <v>-115</v>
      </c>
      <c r="F25" s="21" t="n">
        <v>-110</v>
      </c>
      <c r="G25" s="21" t="n">
        <v>-105</v>
      </c>
      <c r="H25" s="21" t="n">
        <v>-100</v>
      </c>
    </row>
    <row r="26" customFormat="false" ht="15" hidden="false" customHeight="false" outlineLevel="0" collapsed="false">
      <c r="A26" s="19" t="s">
        <v>57</v>
      </c>
      <c r="C26" s="20" t="n">
        <v>-380</v>
      </c>
      <c r="D26" s="20" t="n">
        <v>-420</v>
      </c>
      <c r="E26" s="20" t="n">
        <v>-450</v>
      </c>
      <c r="F26" s="21" t="n">
        <v>-470</v>
      </c>
      <c r="G26" s="21" t="n">
        <v>-460</v>
      </c>
      <c r="H26" s="21" t="n">
        <v>-450</v>
      </c>
    </row>
    <row r="27" customFormat="false" ht="15" hidden="false" customHeight="false" outlineLevel="0" collapsed="false">
      <c r="A27" s="19" t="s">
        <v>58</v>
      </c>
      <c r="C27" s="20" t="n">
        <v>-15</v>
      </c>
      <c r="D27" s="20" t="n">
        <v>-20</v>
      </c>
      <c r="E27" s="20" t="n">
        <v>-25</v>
      </c>
      <c r="F27" s="21" t="n">
        <v>-20</v>
      </c>
      <c r="G27" s="21" t="n">
        <v>-18</v>
      </c>
      <c r="H27" s="21" t="n">
        <v>-15</v>
      </c>
    </row>
    <row r="28" customFormat="false" ht="15" hidden="false" customHeight="false" outlineLevel="0" collapsed="false">
      <c r="A28" s="22" t="s">
        <v>59</v>
      </c>
      <c r="B28" s="32"/>
      <c r="C28" s="25" t="n">
        <f aca="false">-C23*0.2</f>
        <v>-124</v>
      </c>
      <c r="D28" s="25" t="n">
        <f aca="false">-D23*0.2</f>
        <v>-130</v>
      </c>
      <c r="E28" s="25" t="n">
        <f aca="false">-E23*0.2</f>
        <v>-131</v>
      </c>
      <c r="F28" s="25" t="n">
        <f aca="false">-F23*0.2</f>
        <v>-141.6</v>
      </c>
      <c r="G28" s="25" t="n">
        <f aca="false">-G23*0.2</f>
        <v>-153.4</v>
      </c>
      <c r="H28" s="25" t="n">
        <f aca="false">-H23*0.2</f>
        <v>-166</v>
      </c>
    </row>
    <row r="29" customFormat="false" ht="15" hidden="false" customHeight="false" outlineLevel="0" collapsed="false">
      <c r="A29" s="33" t="s">
        <v>60</v>
      </c>
      <c r="B29" s="34"/>
      <c r="C29" s="35" t="n">
        <f aca="false">C18+C26+C27+C28</f>
        <v>531</v>
      </c>
      <c r="D29" s="35" t="n">
        <f aca="false">D18+D26+D27+D28</f>
        <v>535</v>
      </c>
      <c r="E29" s="35" t="n">
        <f aca="false">E18+E26+E27+E28</f>
        <v>529</v>
      </c>
      <c r="F29" s="35" t="n">
        <f aca="false">F18+F26+F27+F28</f>
        <v>566.4</v>
      </c>
      <c r="G29" s="35" t="n">
        <f aca="false">G18+G26+G27+G28</f>
        <v>635.6</v>
      </c>
      <c r="H29" s="35" t="n">
        <f aca="false">H18+H26+H27+H28</f>
        <v>709</v>
      </c>
    </row>
    <row r="31" customFormat="false" ht="15" hidden="false" customHeight="false" outlineLevel="0" collapsed="false">
      <c r="A31" s="36" t="s">
        <v>61</v>
      </c>
    </row>
    <row r="32" customFormat="false" ht="15" hidden="false" customHeight="false" outlineLevel="0" collapsed="false">
      <c r="A32" s="3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8" min="3" style="0" width="14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4" t="s">
        <v>63</v>
      </c>
    </row>
    <row r="2" customFormat="false" ht="15" hidden="false" customHeight="false" outlineLevel="0" collapsed="false">
      <c r="A2" s="14" t="s">
        <v>28</v>
      </c>
    </row>
    <row r="4" customFormat="false" ht="15" hidden="false" customHeight="false" outlineLevel="0" collapsed="false">
      <c r="A4" s="15"/>
      <c r="B4" s="16" t="s">
        <v>30</v>
      </c>
      <c r="C4" s="16" t="s">
        <v>31</v>
      </c>
      <c r="D4" s="16" t="s">
        <v>32</v>
      </c>
      <c r="E4" s="16" t="s">
        <v>33</v>
      </c>
      <c r="F4" s="16" t="s">
        <v>34</v>
      </c>
      <c r="G4" s="16" t="s">
        <v>35</v>
      </c>
      <c r="H4" s="16" t="s">
        <v>36</v>
      </c>
      <c r="I4" s="16" t="s">
        <v>64</v>
      </c>
    </row>
    <row r="5" customFormat="false" ht="15" hidden="false" customHeight="false" outlineLevel="0" collapsed="false">
      <c r="A5" s="17" t="s">
        <v>65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customFormat="false" ht="15" hidden="false" customHeight="false" outlineLevel="0" collapsed="false">
      <c r="A6" s="19" t="s">
        <v>66</v>
      </c>
      <c r="B6" s="13" t="s">
        <v>39</v>
      </c>
      <c r="C6" s="20" t="n">
        <v>1380</v>
      </c>
      <c r="D6" s="20" t="n">
        <v>1360</v>
      </c>
      <c r="E6" s="20" t="n">
        <v>1345</v>
      </c>
      <c r="F6" s="21" t="n">
        <v>1295</v>
      </c>
      <c r="G6" s="21" t="n">
        <v>1195</v>
      </c>
      <c r="H6" s="21" t="n">
        <v>1095</v>
      </c>
    </row>
    <row r="7" customFormat="false" ht="15" hidden="false" customHeight="false" outlineLevel="0" collapsed="false">
      <c r="A7" s="19" t="s">
        <v>67</v>
      </c>
      <c r="B7" s="13" t="s">
        <v>39</v>
      </c>
      <c r="C7" s="20" t="n">
        <v>800</v>
      </c>
      <c r="D7" s="20" t="n">
        <v>800</v>
      </c>
      <c r="E7" s="20" t="n">
        <v>800</v>
      </c>
      <c r="F7" s="21" t="n">
        <v>800</v>
      </c>
      <c r="G7" s="21" t="n">
        <v>650</v>
      </c>
      <c r="H7" s="21" t="n">
        <v>650</v>
      </c>
    </row>
    <row r="8" customFormat="false" ht="15" hidden="false" customHeight="false" outlineLevel="0" collapsed="false">
      <c r="A8" s="19" t="s">
        <v>68</v>
      </c>
      <c r="B8" s="13" t="s">
        <v>39</v>
      </c>
      <c r="C8" s="20" t="n">
        <v>500</v>
      </c>
      <c r="D8" s="20" t="n">
        <v>480</v>
      </c>
      <c r="E8" s="20" t="n">
        <v>465</v>
      </c>
      <c r="F8" s="21" t="n">
        <v>415</v>
      </c>
      <c r="G8" s="21" t="n">
        <v>465</v>
      </c>
      <c r="H8" s="21" t="n">
        <v>365</v>
      </c>
    </row>
    <row r="9" customFormat="false" ht="15" hidden="false" customHeight="false" outlineLevel="0" collapsed="false">
      <c r="A9" s="19" t="s">
        <v>69</v>
      </c>
      <c r="B9" s="13" t="s">
        <v>39</v>
      </c>
      <c r="C9" s="20" t="n">
        <v>80</v>
      </c>
      <c r="D9" s="20" t="n">
        <v>80</v>
      </c>
      <c r="E9" s="20" t="n">
        <v>80</v>
      </c>
      <c r="F9" s="21" t="n">
        <v>80</v>
      </c>
      <c r="G9" s="21" t="n">
        <v>80</v>
      </c>
      <c r="H9" s="21" t="n">
        <v>80</v>
      </c>
    </row>
    <row r="10" customFormat="false" ht="15" hidden="false" customHeight="false" outlineLevel="0" collapsed="false">
      <c r="A10" s="19" t="s">
        <v>70</v>
      </c>
      <c r="B10" s="13" t="s">
        <v>39</v>
      </c>
      <c r="C10" s="20" t="n">
        <v>2100</v>
      </c>
      <c r="D10" s="20" t="n">
        <v>2130</v>
      </c>
      <c r="E10" s="20" t="n">
        <v>2151</v>
      </c>
      <c r="F10" s="21" t="n">
        <v>2180</v>
      </c>
      <c r="G10" s="21" t="n">
        <v>2200</v>
      </c>
      <c r="H10" s="21" t="n">
        <v>2220</v>
      </c>
    </row>
    <row r="11" customFormat="false" ht="15" hidden="false" customHeight="false" outlineLevel="0" collapsed="false">
      <c r="A11" s="9" t="s">
        <v>71</v>
      </c>
      <c r="B11" s="13" t="s">
        <v>39</v>
      </c>
      <c r="C11" s="26" t="n">
        <f aca="false">C6+C10</f>
        <v>3480</v>
      </c>
      <c r="D11" s="26" t="n">
        <f aca="false">D6+D10</f>
        <v>3490</v>
      </c>
      <c r="E11" s="26" t="n">
        <f aca="false">E6+E10</f>
        <v>3496</v>
      </c>
      <c r="F11" s="26" t="n">
        <f aca="false">F6+F10</f>
        <v>3475</v>
      </c>
      <c r="G11" s="26" t="n">
        <f aca="false">G6+G10</f>
        <v>3395</v>
      </c>
      <c r="H11" s="26" t="n">
        <f aca="false">H6+H10</f>
        <v>3315</v>
      </c>
    </row>
    <row r="12" customFormat="false" ht="15" hidden="false" customHeight="false" outlineLevel="0" collapsed="false">
      <c r="A12" s="19" t="s">
        <v>72</v>
      </c>
      <c r="B12" s="13" t="s">
        <v>39</v>
      </c>
      <c r="C12" s="20" t="n">
        <v>520</v>
      </c>
      <c r="D12" s="20" t="n">
        <v>505</v>
      </c>
      <c r="E12" s="20" t="n">
        <v>488</v>
      </c>
      <c r="F12" s="21" t="n">
        <v>510</v>
      </c>
      <c r="G12" s="21" t="n">
        <v>545</v>
      </c>
      <c r="H12" s="21" t="n">
        <v>590</v>
      </c>
    </row>
    <row r="13" customFormat="false" ht="15" hidden="false" customHeight="false" outlineLevel="0" collapsed="false">
      <c r="A13" s="9" t="s">
        <v>73</v>
      </c>
      <c r="B13" s="13" t="s">
        <v>39</v>
      </c>
      <c r="C13" s="26" t="n">
        <f aca="false">C6-C12</f>
        <v>860</v>
      </c>
      <c r="D13" s="26" t="n">
        <f aca="false">D6-D12</f>
        <v>855</v>
      </c>
      <c r="E13" s="26" t="n">
        <f aca="false">E6-E12</f>
        <v>857</v>
      </c>
      <c r="F13" s="26" t="n">
        <f aca="false">F6-F12</f>
        <v>785</v>
      </c>
      <c r="G13" s="26" t="n">
        <f aca="false">G6-G12</f>
        <v>650</v>
      </c>
      <c r="H13" s="26" t="n">
        <f aca="false">H6-H12</f>
        <v>505</v>
      </c>
    </row>
    <row r="14" customFormat="false" ht="15" hidden="false" customHeight="false" outlineLevel="0" collapsed="false">
      <c r="A14" s="37" t="s">
        <v>74</v>
      </c>
      <c r="B14" s="23" t="s">
        <v>39</v>
      </c>
      <c r="C14" s="38" t="n">
        <f aca="false">C11-C12</f>
        <v>2960</v>
      </c>
      <c r="D14" s="38" t="n">
        <f aca="false">D11-D12</f>
        <v>2985</v>
      </c>
      <c r="E14" s="38" t="n">
        <f aca="false">E11-E12</f>
        <v>3008</v>
      </c>
      <c r="F14" s="38" t="n">
        <f aca="false">F11-F12</f>
        <v>2965</v>
      </c>
      <c r="G14" s="38" t="n">
        <f aca="false">G11-G12</f>
        <v>2850</v>
      </c>
      <c r="H14" s="38" t="n">
        <f aca="false">H11-H12</f>
        <v>2725</v>
      </c>
      <c r="I14" s="32"/>
    </row>
    <row r="16" customFormat="false" ht="15" hidden="false" customHeight="false" outlineLevel="0" collapsed="false">
      <c r="A16" s="17" t="s">
        <v>75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customFormat="false" ht="15" hidden="false" customHeight="false" outlineLevel="0" collapsed="false">
      <c r="A17" s="19" t="s">
        <v>76</v>
      </c>
      <c r="B17" s="13" t="s">
        <v>39</v>
      </c>
      <c r="C17" s="39" t="n">
        <f aca="false">EBITDA_Analysis!C18</f>
        <v>1050</v>
      </c>
      <c r="D17" s="39" t="n">
        <f aca="false">EBITDA_Analysis!D18</f>
        <v>1105</v>
      </c>
      <c r="E17" s="39" t="n">
        <f aca="false">EBITDA_Analysis!E18</f>
        <v>1135</v>
      </c>
      <c r="F17" s="39" t="n">
        <f aca="false">EBITDA_Analysis!F18</f>
        <v>1198</v>
      </c>
      <c r="G17" s="39" t="n">
        <f aca="false">EBITDA_Analysis!G18</f>
        <v>1267</v>
      </c>
      <c r="H17" s="39" t="n">
        <f aca="false">EBITDA_Analysis!H18</f>
        <v>1340</v>
      </c>
    </row>
    <row r="18" customFormat="false" ht="15" hidden="false" customHeight="false" outlineLevel="0" collapsed="false">
      <c r="A18" s="40" t="s">
        <v>77</v>
      </c>
      <c r="B18" s="13" t="s">
        <v>78</v>
      </c>
      <c r="C18" s="41" t="n">
        <f aca="false">C13/C17</f>
        <v>0.819047619047619</v>
      </c>
      <c r="D18" s="41" t="n">
        <f aca="false">D13/D17</f>
        <v>0.773755656108597</v>
      </c>
      <c r="E18" s="41" t="n">
        <f aca="false">E13/E17</f>
        <v>0.755066079295154</v>
      </c>
      <c r="F18" s="41" t="n">
        <f aca="false">F13/F17</f>
        <v>0.65525876460768</v>
      </c>
      <c r="G18" s="41" t="n">
        <f aca="false">G13/G17</f>
        <v>0.513022888713496</v>
      </c>
      <c r="H18" s="41" t="n">
        <f aca="false">H13/H17</f>
        <v>0.376865671641791</v>
      </c>
      <c r="I18" s="42" t="s">
        <v>79</v>
      </c>
    </row>
    <row r="19" customFormat="false" ht="15" hidden="false" customHeight="false" outlineLevel="0" collapsed="false">
      <c r="A19" s="9" t="s">
        <v>80</v>
      </c>
      <c r="C19" s="43" t="n">
        <f aca="false">C11/C17</f>
        <v>3.31428571428571</v>
      </c>
      <c r="D19" s="43" t="n">
        <f aca="false">D11/D17</f>
        <v>3.15837104072398</v>
      </c>
      <c r="E19" s="43" t="n">
        <f aca="false">E11/E17</f>
        <v>3.08017621145374</v>
      </c>
      <c r="F19" s="43" t="n">
        <f aca="false">F11/F17</f>
        <v>2.90066777963272</v>
      </c>
      <c r="G19" s="43" t="n">
        <f aca="false">G11/G17</f>
        <v>2.67955801104972</v>
      </c>
      <c r="H19" s="43" t="n">
        <f aca="false">H11/H17</f>
        <v>2.47388059701493</v>
      </c>
      <c r="I19" s="19" t="s">
        <v>81</v>
      </c>
    </row>
    <row r="20" customFormat="false" ht="15" hidden="false" customHeight="false" outlineLevel="0" collapsed="false">
      <c r="A20" s="19" t="s">
        <v>82</v>
      </c>
      <c r="C20" s="44" t="n">
        <f aca="false">C14/C17</f>
        <v>2.81904761904762</v>
      </c>
      <c r="D20" s="44" t="n">
        <f aca="false">D14/D17</f>
        <v>2.70135746606335</v>
      </c>
      <c r="E20" s="44" t="n">
        <f aca="false">E14/E17</f>
        <v>2.65022026431718</v>
      </c>
      <c r="F20" s="44" t="n">
        <f aca="false">F14/F17</f>
        <v>2.47495826377296</v>
      </c>
      <c r="G20" s="44" t="n">
        <f aca="false">G14/G17</f>
        <v>2.24940805051302</v>
      </c>
      <c r="H20" s="44" t="n">
        <f aca="false">H14/H17</f>
        <v>2.03358208955224</v>
      </c>
      <c r="I20" s="19" t="s">
        <v>83</v>
      </c>
    </row>
    <row r="21" customFormat="false" ht="15" hidden="false" customHeight="false" outlineLevel="0" collapsed="false">
      <c r="A21" s="45" t="s">
        <v>84</v>
      </c>
      <c r="B21" s="46"/>
      <c r="C21" s="47" t="n">
        <f aca="false">C6/C17</f>
        <v>1.31428571428571</v>
      </c>
      <c r="D21" s="47" t="n">
        <f aca="false">D6/D17</f>
        <v>1.23076923076923</v>
      </c>
      <c r="E21" s="47" t="n">
        <f aca="false">E6/E17</f>
        <v>1.18502202643172</v>
      </c>
      <c r="F21" s="47" t="n">
        <f aca="false">F6/F17</f>
        <v>1.08096828046745</v>
      </c>
      <c r="G21" s="47" t="n">
        <f aca="false">G6/G17</f>
        <v>0.943172849250197</v>
      </c>
      <c r="H21" s="47" t="n">
        <f aca="false">H6/H17</f>
        <v>0.817164179104478</v>
      </c>
      <c r="I21" s="46"/>
    </row>
    <row r="23" customFormat="false" ht="15" hidden="false" customHeight="false" outlineLevel="0" collapsed="false">
      <c r="A23" s="17" t="s">
        <v>85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customFormat="false" ht="15" hidden="false" customHeight="false" outlineLevel="0" collapsed="false">
      <c r="A24" s="48" t="s">
        <v>86</v>
      </c>
      <c r="C24" s="49" t="s">
        <v>87</v>
      </c>
      <c r="E24" s="49" t="s">
        <v>88</v>
      </c>
      <c r="G24" s="50" t="s">
        <v>89</v>
      </c>
    </row>
    <row r="25" customFormat="false" ht="15" hidden="false" customHeight="false" outlineLevel="0" collapsed="false">
      <c r="A25" s="19" t="s">
        <v>90</v>
      </c>
      <c r="C25" s="19" t="s">
        <v>91</v>
      </c>
      <c r="E25" s="19" t="s">
        <v>92</v>
      </c>
      <c r="G25" s="13" t="s">
        <v>93</v>
      </c>
    </row>
    <row r="26" customFormat="false" ht="15" hidden="false" customHeight="false" outlineLevel="0" collapsed="false">
      <c r="A26" s="19" t="s">
        <v>94</v>
      </c>
      <c r="C26" s="19" t="s">
        <v>95</v>
      </c>
      <c r="E26" s="19" t="s">
        <v>96</v>
      </c>
      <c r="G26" s="13" t="s">
        <v>97</v>
      </c>
    </row>
    <row r="27" customFormat="false" ht="15" hidden="false" customHeight="false" outlineLevel="0" collapsed="false">
      <c r="A27" s="19" t="s">
        <v>98</v>
      </c>
      <c r="C27" s="19" t="s">
        <v>99</v>
      </c>
      <c r="E27" s="19" t="s">
        <v>100</v>
      </c>
      <c r="G27" s="13" t="s">
        <v>93</v>
      </c>
    </row>
    <row r="28" customFormat="false" ht="15" hidden="false" customHeight="false" outlineLevel="0" collapsed="false">
      <c r="A28" s="19" t="s">
        <v>101</v>
      </c>
      <c r="C28" s="19" t="s">
        <v>87</v>
      </c>
      <c r="E28" s="19" t="s">
        <v>102</v>
      </c>
      <c r="G28" s="13" t="s">
        <v>103</v>
      </c>
    </row>
    <row r="29" customFormat="false" ht="15" hidden="false" customHeight="false" outlineLevel="0" collapsed="false">
      <c r="A29" s="19" t="s">
        <v>104</v>
      </c>
      <c r="C29" s="19" t="s">
        <v>105</v>
      </c>
      <c r="E29" s="19" t="s">
        <v>106</v>
      </c>
      <c r="G29" s="13" t="s">
        <v>107</v>
      </c>
    </row>
    <row r="31" customFormat="false" ht="15" hidden="false" customHeight="false" outlineLevel="0" collapsed="false">
      <c r="A31" s="36" t="s">
        <v>61</v>
      </c>
    </row>
    <row r="32" customFormat="false" ht="15" hidden="false" customHeight="false" outlineLevel="0" collapsed="false">
      <c r="A32" s="3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8" min="3" style="0" width="14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4" t="s">
        <v>108</v>
      </c>
    </row>
    <row r="2" customFormat="false" ht="15" hidden="false" customHeight="false" outlineLevel="0" collapsed="false">
      <c r="A2" s="14" t="s">
        <v>28</v>
      </c>
    </row>
    <row r="4" customFormat="false" ht="15" hidden="false" customHeight="false" outlineLevel="0" collapsed="false">
      <c r="A4" s="15"/>
      <c r="B4" s="16" t="s">
        <v>30</v>
      </c>
      <c r="C4" s="16" t="s">
        <v>31</v>
      </c>
      <c r="D4" s="16" t="s">
        <v>32</v>
      </c>
      <c r="E4" s="16" t="s">
        <v>33</v>
      </c>
      <c r="F4" s="16" t="s">
        <v>34</v>
      </c>
      <c r="G4" s="16" t="s">
        <v>35</v>
      </c>
      <c r="H4" s="16" t="s">
        <v>36</v>
      </c>
      <c r="I4" s="16" t="s">
        <v>109</v>
      </c>
    </row>
    <row r="5" customFormat="false" ht="15" hidden="false" customHeight="false" outlineLevel="0" collapsed="false">
      <c r="A5" s="19" t="s">
        <v>76</v>
      </c>
      <c r="B5" s="13" t="s">
        <v>39</v>
      </c>
      <c r="C5" s="39" t="n">
        <f aca="false">EBITDA_Analysis!C18</f>
        <v>1050</v>
      </c>
      <c r="D5" s="39" t="n">
        <f aca="false">EBITDA_Analysis!D18</f>
        <v>1105</v>
      </c>
      <c r="E5" s="39" t="n">
        <f aca="false">EBITDA_Analysis!E18</f>
        <v>1135</v>
      </c>
      <c r="F5" s="39" t="n">
        <f aca="false">EBITDA_Analysis!F18</f>
        <v>1198</v>
      </c>
      <c r="G5" s="39" t="n">
        <f aca="false">EBITDA_Analysis!G18</f>
        <v>1267</v>
      </c>
      <c r="H5" s="39" t="n">
        <f aca="false">EBITDA_Analysis!H18</f>
        <v>1340</v>
      </c>
    </row>
    <row r="6" customFormat="false" ht="15" hidden="false" customHeight="false" outlineLevel="0" collapsed="false">
      <c r="A6" s="19" t="s">
        <v>110</v>
      </c>
      <c r="C6" s="39" t="n">
        <f aca="false">EBITDA_Analysis!C23</f>
        <v>620</v>
      </c>
      <c r="D6" s="39" t="n">
        <f aca="false">EBITDA_Analysis!D23</f>
        <v>650</v>
      </c>
      <c r="E6" s="39" t="n">
        <f aca="false">EBITDA_Analysis!E23</f>
        <v>655</v>
      </c>
      <c r="F6" s="39" t="n">
        <f aca="false">EBITDA_Analysis!F23</f>
        <v>708</v>
      </c>
      <c r="G6" s="39" t="n">
        <f aca="false">EBITDA_Analysis!G23</f>
        <v>767</v>
      </c>
      <c r="H6" s="39" t="n">
        <f aca="false">EBITDA_Analysis!H23</f>
        <v>830</v>
      </c>
    </row>
    <row r="7" customFormat="false" ht="15" hidden="false" customHeight="false" outlineLevel="0" collapsed="false">
      <c r="A7" s="19" t="s">
        <v>111</v>
      </c>
      <c r="C7" s="39" t="n">
        <f aca="false">EBITDA_Analysis!C25</f>
        <v>-105</v>
      </c>
      <c r="D7" s="39" t="n">
        <f aca="false">EBITDA_Analysis!D25</f>
        <v>-110</v>
      </c>
      <c r="E7" s="39" t="n">
        <f aca="false">EBITDA_Analysis!E25</f>
        <v>-115</v>
      </c>
      <c r="F7" s="39" t="n">
        <f aca="false">EBITDA_Analysis!F25</f>
        <v>-110</v>
      </c>
      <c r="G7" s="39" t="n">
        <f aca="false">EBITDA_Analysis!G25</f>
        <v>-105</v>
      </c>
      <c r="H7" s="39" t="n">
        <f aca="false">EBITDA_Analysis!H25</f>
        <v>-100</v>
      </c>
    </row>
    <row r="8" customFormat="false" ht="15" hidden="false" customHeight="false" outlineLevel="0" collapsed="false">
      <c r="A8" s="19" t="s">
        <v>112</v>
      </c>
      <c r="C8" s="20" t="n">
        <v>-55</v>
      </c>
      <c r="D8" s="20" t="n">
        <v>-57</v>
      </c>
      <c r="E8" s="20" t="n">
        <v>-60</v>
      </c>
      <c r="F8" s="21" t="n">
        <v>-62</v>
      </c>
      <c r="G8" s="21" t="n">
        <v>-63</v>
      </c>
      <c r="H8" s="21" t="n">
        <v>-64</v>
      </c>
    </row>
    <row r="9" customFormat="false" ht="15" hidden="false" customHeight="false" outlineLevel="0" collapsed="false">
      <c r="A9" s="22" t="s">
        <v>113</v>
      </c>
      <c r="B9" s="32"/>
      <c r="C9" s="25" t="n">
        <f aca="false">C7-C8</f>
        <v>-50</v>
      </c>
      <c r="D9" s="25" t="n">
        <f aca="false">D7-D8</f>
        <v>-53</v>
      </c>
      <c r="E9" s="25" t="n">
        <f aca="false">E7-E8</f>
        <v>-55</v>
      </c>
      <c r="F9" s="25" t="n">
        <f aca="false">F7-F8</f>
        <v>-48</v>
      </c>
      <c r="G9" s="25" t="n">
        <f aca="false">G7-G8</f>
        <v>-42</v>
      </c>
      <c r="H9" s="25" t="n">
        <f aca="false">H7-H8</f>
        <v>-36</v>
      </c>
      <c r="I9" s="32"/>
    </row>
    <row r="11" customFormat="false" ht="15" hidden="false" customHeight="false" outlineLevel="0" collapsed="false">
      <c r="A11" s="17" t="s">
        <v>114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customFormat="false" ht="15" hidden="false" customHeight="false" outlineLevel="0" collapsed="false">
      <c r="A12" s="40" t="s">
        <v>115</v>
      </c>
      <c r="C12" s="41" t="n">
        <f aca="false">C5/(-C7)</f>
        <v>10</v>
      </c>
      <c r="D12" s="41" t="n">
        <f aca="false">D5/(-D7)</f>
        <v>10.0454545454545</v>
      </c>
      <c r="E12" s="41" t="n">
        <f aca="false">E5/(-E7)</f>
        <v>9.86956521739131</v>
      </c>
      <c r="F12" s="41" t="n">
        <f aca="false">F5/(-F7)</f>
        <v>10.8909090909091</v>
      </c>
      <c r="G12" s="41" t="n">
        <f aca="false">G5/(-G7)</f>
        <v>12.0666666666667</v>
      </c>
      <c r="H12" s="41" t="n">
        <f aca="false">H5/(-H7)</f>
        <v>13.4</v>
      </c>
      <c r="I12" s="42" t="s">
        <v>116</v>
      </c>
    </row>
    <row r="13" customFormat="false" ht="15" hidden="false" customHeight="false" outlineLevel="0" collapsed="false">
      <c r="A13" s="9" t="s">
        <v>117</v>
      </c>
      <c r="C13" s="43" t="n">
        <f aca="false">C5/(-C9)</f>
        <v>21</v>
      </c>
      <c r="D13" s="43" t="n">
        <f aca="false">D5/(-D9)</f>
        <v>20.8490566037736</v>
      </c>
      <c r="E13" s="43" t="n">
        <f aca="false">E5/(-E9)</f>
        <v>20.6363636363636</v>
      </c>
      <c r="F13" s="43" t="n">
        <f aca="false">F5/(-F9)</f>
        <v>24.9583333333333</v>
      </c>
      <c r="G13" s="43" t="n">
        <f aca="false">G5/(-G9)</f>
        <v>30.1666666666667</v>
      </c>
      <c r="H13" s="43" t="n">
        <f aca="false">H5/(-H9)</f>
        <v>37.2222222222222</v>
      </c>
      <c r="I13" s="19" t="s">
        <v>118</v>
      </c>
    </row>
    <row r="14" customFormat="false" ht="15" hidden="false" customHeight="false" outlineLevel="0" collapsed="false">
      <c r="A14" s="19" t="s">
        <v>119</v>
      </c>
      <c r="C14" s="44" t="n">
        <f aca="false">C6/(-C7)</f>
        <v>5.90476190476191</v>
      </c>
      <c r="D14" s="44" t="n">
        <f aca="false">D6/(-D7)</f>
        <v>5.90909090909091</v>
      </c>
      <c r="E14" s="44" t="n">
        <f aca="false">E6/(-E7)</f>
        <v>5.69565217391304</v>
      </c>
      <c r="F14" s="44" t="n">
        <f aca="false">F6/(-F7)</f>
        <v>6.43636363636364</v>
      </c>
      <c r="G14" s="44" t="n">
        <f aca="false">G6/(-G7)</f>
        <v>7.30476190476191</v>
      </c>
      <c r="H14" s="44" t="n">
        <f aca="false">H6/(-H7)</f>
        <v>8.3</v>
      </c>
      <c r="I14" s="19" t="s">
        <v>120</v>
      </c>
    </row>
    <row r="15" customFormat="false" ht="15" hidden="false" customHeight="false" outlineLevel="0" collapsed="false">
      <c r="A15" s="19" t="s">
        <v>60</v>
      </c>
      <c r="C15" s="39" t="n">
        <f aca="false">EBITDA_Analysis!C29</f>
        <v>531</v>
      </c>
      <c r="D15" s="39" t="n">
        <f aca="false">EBITDA_Analysis!D29</f>
        <v>535</v>
      </c>
      <c r="E15" s="39" t="n">
        <f aca="false">EBITDA_Analysis!E29</f>
        <v>529</v>
      </c>
      <c r="F15" s="39" t="n">
        <f aca="false">EBITDA_Analysis!F29</f>
        <v>566.4</v>
      </c>
      <c r="G15" s="39" t="n">
        <f aca="false">EBITDA_Analysis!G29</f>
        <v>635.6</v>
      </c>
      <c r="H15" s="39" t="n">
        <f aca="false">EBITDA_Analysis!H29</f>
        <v>709</v>
      </c>
    </row>
    <row r="16" customFormat="false" ht="15" hidden="false" customHeight="false" outlineLevel="0" collapsed="false">
      <c r="A16" s="9" t="s">
        <v>121</v>
      </c>
      <c r="C16" s="43" t="n">
        <f aca="false">C15/(-C7)</f>
        <v>5.05714285714286</v>
      </c>
      <c r="D16" s="43" t="n">
        <f aca="false">D15/(-D7)</f>
        <v>4.86363636363636</v>
      </c>
      <c r="E16" s="43" t="n">
        <f aca="false">E15/(-E7)</f>
        <v>4.6</v>
      </c>
      <c r="F16" s="43" t="n">
        <f aca="false">F15/(-F7)</f>
        <v>5.14909090909091</v>
      </c>
      <c r="G16" s="43" t="n">
        <f aca="false">G15/(-G7)</f>
        <v>6.05333333333333</v>
      </c>
      <c r="H16" s="43" t="n">
        <f aca="false">H15/(-H7)</f>
        <v>7.09</v>
      </c>
      <c r="I16" s="19" t="s">
        <v>122</v>
      </c>
    </row>
    <row r="17" customFormat="false" ht="15" hidden="false" customHeight="false" outlineLevel="0" collapsed="false">
      <c r="A17" s="51" t="s">
        <v>123</v>
      </c>
      <c r="B17" s="34"/>
      <c r="C17" s="52" t="n">
        <f aca="false">IF((-C7+C18)=0,0,C15/(-C7+C18))</f>
        <v>5.05714285714286</v>
      </c>
      <c r="D17" s="52" t="n">
        <f aca="false">IF((-D7+D18)=0,0,D15/(-D7+D18))</f>
        <v>4.86363636363636</v>
      </c>
      <c r="E17" s="52" t="n">
        <f aca="false">IF((-E7+E18)=0,0,E15/(-E7+E18))</f>
        <v>1.99622641509434</v>
      </c>
      <c r="F17" s="52" t="n">
        <f aca="false">IF((-F7+F18)=0,0,F15/(-F7+F18))</f>
        <v>2.17846153846154</v>
      </c>
      <c r="G17" s="52" t="n">
        <f aca="false">IF((-G7+G18)=0,0,G15/(-G7+G18))</f>
        <v>1.39692307692308</v>
      </c>
      <c r="H17" s="52" t="n">
        <f aca="false">IF((-H7+H18)=0,0,H15/(-H7+H18))</f>
        <v>3.545</v>
      </c>
      <c r="I17" s="53" t="s">
        <v>124</v>
      </c>
    </row>
    <row r="18" customFormat="false" ht="15" hidden="false" customHeight="false" outlineLevel="0" collapsed="false">
      <c r="A18" s="19" t="s">
        <v>125</v>
      </c>
      <c r="C18" s="54" t="n">
        <v>0</v>
      </c>
      <c r="D18" s="54" t="n">
        <v>0</v>
      </c>
      <c r="E18" s="54" t="n">
        <v>150</v>
      </c>
      <c r="F18" s="55" t="n">
        <v>150</v>
      </c>
      <c r="G18" s="55" t="n">
        <v>350</v>
      </c>
      <c r="H18" s="55" t="n">
        <v>100</v>
      </c>
    </row>
    <row r="20" customFormat="false" ht="15" hidden="false" customHeight="false" outlineLevel="0" collapsed="false">
      <c r="A20" s="17" t="s">
        <v>126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customFormat="false" ht="15" hidden="false" customHeight="false" outlineLevel="0" collapsed="false">
      <c r="A21" s="42" t="s">
        <v>127</v>
      </c>
    </row>
    <row r="22" customFormat="false" ht="15" hidden="false" customHeight="false" outlineLevel="0" collapsed="false">
      <c r="A22" s="42" t="s">
        <v>128</v>
      </c>
    </row>
    <row r="23" customFormat="false" ht="15" hidden="false" customHeight="false" outlineLevel="0" collapsed="false">
      <c r="A23" s="56" t="s">
        <v>129</v>
      </c>
    </row>
    <row r="24" customFormat="false" ht="15" hidden="false" customHeight="false" outlineLevel="0" collapsed="false">
      <c r="A24" s="9" t="s">
        <v>130</v>
      </c>
    </row>
    <row r="26" customFormat="false" ht="15" hidden="false" customHeight="false" outlineLevel="0" collapsed="false">
      <c r="A26" s="36" t="s">
        <v>61</v>
      </c>
    </row>
    <row r="27" customFormat="false" ht="15" hidden="false" customHeight="false" outlineLevel="0" collapsed="false">
      <c r="A27" s="3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"/>
    <col collapsed="false" customWidth="true" hidden="false" outlineLevel="0" max="6" min="3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4" t="s">
        <v>131</v>
      </c>
    </row>
    <row r="2" customFormat="false" ht="15" hidden="false" customHeight="false" outlineLevel="0" collapsed="false">
      <c r="A2" s="14" t="s">
        <v>28</v>
      </c>
    </row>
    <row r="4" customFormat="false" ht="22.35" hidden="false" customHeight="false" outlineLevel="0" collapsed="false">
      <c r="A4" s="15" t="s">
        <v>132</v>
      </c>
      <c r="B4" s="16" t="s">
        <v>30</v>
      </c>
      <c r="C4" s="16" t="s">
        <v>133</v>
      </c>
      <c r="D4" s="16" t="s">
        <v>134</v>
      </c>
      <c r="E4" s="16" t="s">
        <v>135</v>
      </c>
      <c r="F4" s="16" t="s">
        <v>136</v>
      </c>
      <c r="G4" s="16" t="s">
        <v>137</v>
      </c>
    </row>
    <row r="5" customFormat="false" ht="15" hidden="false" customHeight="false" outlineLevel="0" collapsed="false">
      <c r="A5" s="17" t="s">
        <v>138</v>
      </c>
      <c r="B5" s="18"/>
      <c r="C5" s="18"/>
      <c r="D5" s="18"/>
      <c r="E5" s="18"/>
      <c r="F5" s="18"/>
      <c r="G5" s="18"/>
    </row>
    <row r="6" customFormat="false" ht="15" hidden="false" customHeight="false" outlineLevel="0" collapsed="false">
      <c r="A6" s="19" t="s">
        <v>139</v>
      </c>
      <c r="B6" s="13" t="s">
        <v>39</v>
      </c>
      <c r="C6" s="20" t="n">
        <v>150</v>
      </c>
      <c r="D6" s="57" t="s">
        <v>140</v>
      </c>
      <c r="E6" s="19" t="s">
        <v>141</v>
      </c>
      <c r="F6" s="19" t="s">
        <v>142</v>
      </c>
      <c r="G6" s="11" t="s">
        <v>143</v>
      </c>
    </row>
    <row r="7" customFormat="false" ht="15" hidden="false" customHeight="false" outlineLevel="0" collapsed="false">
      <c r="A7" s="19" t="s">
        <v>144</v>
      </c>
      <c r="B7" s="13" t="s">
        <v>39</v>
      </c>
      <c r="C7" s="20" t="n">
        <v>0</v>
      </c>
      <c r="D7" s="57" t="s">
        <v>145</v>
      </c>
      <c r="E7" s="19" t="s">
        <v>146</v>
      </c>
      <c r="F7" s="19" t="s">
        <v>142</v>
      </c>
      <c r="G7" s="11" t="s">
        <v>147</v>
      </c>
    </row>
    <row r="8" customFormat="false" ht="15" hidden="false" customHeight="false" outlineLevel="0" collapsed="false">
      <c r="A8" s="17" t="s">
        <v>148</v>
      </c>
      <c r="B8" s="18"/>
      <c r="C8" s="18"/>
      <c r="D8" s="18"/>
      <c r="E8" s="18"/>
      <c r="F8" s="18"/>
      <c r="G8" s="18"/>
    </row>
    <row r="9" customFormat="false" ht="15" hidden="false" customHeight="false" outlineLevel="0" collapsed="false">
      <c r="A9" s="19" t="s">
        <v>149</v>
      </c>
      <c r="B9" s="13" t="s">
        <v>39</v>
      </c>
      <c r="C9" s="20" t="n">
        <v>300</v>
      </c>
      <c r="D9" s="57" t="s">
        <v>150</v>
      </c>
      <c r="E9" s="19" t="s">
        <v>151</v>
      </c>
      <c r="F9" s="19" t="s">
        <v>152</v>
      </c>
      <c r="G9" s="11" t="s">
        <v>153</v>
      </c>
    </row>
    <row r="10" customFormat="false" ht="15" hidden="false" customHeight="false" outlineLevel="0" collapsed="false">
      <c r="A10" s="19" t="s">
        <v>154</v>
      </c>
      <c r="B10" s="13" t="s">
        <v>39</v>
      </c>
      <c r="C10" s="20" t="n">
        <v>150</v>
      </c>
      <c r="D10" s="57" t="s">
        <v>155</v>
      </c>
      <c r="E10" s="19" t="s">
        <v>156</v>
      </c>
      <c r="F10" s="19" t="s">
        <v>152</v>
      </c>
      <c r="G10" s="11" t="s">
        <v>157</v>
      </c>
    </row>
    <row r="11" customFormat="false" ht="15" hidden="false" customHeight="false" outlineLevel="0" collapsed="false">
      <c r="A11" s="19" t="s">
        <v>158</v>
      </c>
      <c r="B11" s="13" t="s">
        <v>39</v>
      </c>
      <c r="C11" s="20" t="n">
        <v>150</v>
      </c>
      <c r="D11" s="57" t="s">
        <v>159</v>
      </c>
      <c r="E11" s="19" t="s">
        <v>160</v>
      </c>
      <c r="F11" s="19" t="s">
        <v>152</v>
      </c>
      <c r="G11" s="11" t="s">
        <v>161</v>
      </c>
    </row>
    <row r="12" customFormat="false" ht="15" hidden="false" customHeight="false" outlineLevel="0" collapsed="false">
      <c r="A12" s="19" t="s">
        <v>162</v>
      </c>
      <c r="B12" s="13" t="s">
        <v>39</v>
      </c>
      <c r="C12" s="20" t="n">
        <v>200</v>
      </c>
      <c r="D12" s="57" t="s">
        <v>163</v>
      </c>
      <c r="E12" s="19" t="s">
        <v>160</v>
      </c>
      <c r="F12" s="19" t="s">
        <v>152</v>
      </c>
      <c r="G12" s="11" t="s">
        <v>161</v>
      </c>
    </row>
    <row r="13" customFormat="false" ht="15" hidden="false" customHeight="false" outlineLevel="0" collapsed="false">
      <c r="A13" s="19" t="s">
        <v>164</v>
      </c>
      <c r="B13" s="13" t="s">
        <v>39</v>
      </c>
      <c r="C13" s="20" t="n">
        <v>300</v>
      </c>
      <c r="D13" s="57" t="s">
        <v>165</v>
      </c>
      <c r="E13" s="19" t="s">
        <v>156</v>
      </c>
      <c r="F13" s="19" t="s">
        <v>152</v>
      </c>
      <c r="G13" s="11" t="s">
        <v>166</v>
      </c>
    </row>
    <row r="14" customFormat="false" ht="15" hidden="false" customHeight="false" outlineLevel="0" collapsed="false">
      <c r="A14" s="19" t="s">
        <v>167</v>
      </c>
      <c r="B14" s="13" t="s">
        <v>39</v>
      </c>
      <c r="C14" s="20" t="n">
        <v>95</v>
      </c>
      <c r="D14" s="57" t="s">
        <v>168</v>
      </c>
      <c r="E14" s="19" t="s">
        <v>168</v>
      </c>
      <c r="F14" s="19" t="s">
        <v>152</v>
      </c>
      <c r="G14" s="11" t="s">
        <v>169</v>
      </c>
    </row>
    <row r="15" customFormat="false" ht="15" hidden="false" customHeight="false" outlineLevel="0" collapsed="false">
      <c r="A15" s="17" t="s">
        <v>170</v>
      </c>
      <c r="B15" s="18"/>
      <c r="C15" s="18"/>
      <c r="D15" s="18"/>
      <c r="E15" s="18"/>
      <c r="F15" s="18"/>
      <c r="G15" s="18"/>
    </row>
    <row r="16" customFormat="false" ht="15" hidden="false" customHeight="false" outlineLevel="0" collapsed="false">
      <c r="A16" s="19" t="s">
        <v>171</v>
      </c>
      <c r="B16" s="13" t="s">
        <v>39</v>
      </c>
      <c r="C16" s="20" t="n">
        <v>0</v>
      </c>
      <c r="D16" s="57" t="s">
        <v>172</v>
      </c>
      <c r="E16" s="19" t="s">
        <v>172</v>
      </c>
      <c r="F16" s="19" t="s">
        <v>172</v>
      </c>
      <c r="G16" s="11" t="s">
        <v>173</v>
      </c>
    </row>
    <row r="17" customFormat="false" ht="15" hidden="false" customHeight="false" outlineLevel="0" collapsed="false">
      <c r="A17" s="17" t="s">
        <v>174</v>
      </c>
      <c r="B17" s="18"/>
      <c r="C17" s="18"/>
      <c r="D17" s="18"/>
      <c r="E17" s="18"/>
      <c r="F17" s="18"/>
      <c r="G17" s="18"/>
    </row>
    <row r="18" customFormat="false" ht="15" hidden="false" customHeight="false" outlineLevel="0" collapsed="false">
      <c r="A18" s="45" t="s">
        <v>175</v>
      </c>
      <c r="B18" s="58" t="s">
        <v>39</v>
      </c>
      <c r="C18" s="59" t="n">
        <v>2151</v>
      </c>
      <c r="D18" s="60" t="s">
        <v>176</v>
      </c>
      <c r="E18" s="45" t="s">
        <v>168</v>
      </c>
      <c r="F18" s="45" t="s">
        <v>177</v>
      </c>
      <c r="G18" s="61" t="s">
        <v>178</v>
      </c>
    </row>
    <row r="20" customFormat="false" ht="15" hidden="false" customHeight="false" outlineLevel="0" collapsed="false">
      <c r="A20" s="17" t="s">
        <v>179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customFormat="false" ht="15" hidden="false" customHeight="false" outlineLevel="0" collapsed="false">
      <c r="A21" s="9" t="s">
        <v>180</v>
      </c>
      <c r="C21" s="26" t="n">
        <v>1345</v>
      </c>
    </row>
    <row r="22" customFormat="false" ht="15" hidden="false" customHeight="false" outlineLevel="0" collapsed="false">
      <c r="A22" s="9" t="s">
        <v>181</v>
      </c>
      <c r="C22" s="26" t="n">
        <v>2151</v>
      </c>
    </row>
    <row r="23" customFormat="false" ht="15" hidden="false" customHeight="false" outlineLevel="0" collapsed="false">
      <c r="A23" s="62" t="s">
        <v>182</v>
      </c>
      <c r="B23" s="34"/>
      <c r="C23" s="63" t="n">
        <f aca="false">C21+C22</f>
        <v>3496</v>
      </c>
      <c r="D23" s="34"/>
      <c r="E23" s="34"/>
      <c r="F23" s="34"/>
      <c r="G23" s="34"/>
    </row>
    <row r="24" customFormat="false" ht="15" hidden="false" customHeight="false" outlineLevel="0" collapsed="false">
      <c r="A24" s="19" t="s">
        <v>183</v>
      </c>
      <c r="C24" s="20" t="n">
        <v>400</v>
      </c>
    </row>
    <row r="25" customFormat="false" ht="15" hidden="false" customHeight="false" outlineLevel="0" collapsed="false">
      <c r="A25" s="9" t="s">
        <v>184</v>
      </c>
      <c r="C25" s="26" t="n">
        <f aca="false">C24+488</f>
        <v>888</v>
      </c>
    </row>
    <row r="27" customFormat="false" ht="15" hidden="false" customHeight="false" outlineLevel="0" collapsed="false">
      <c r="A27" s="17" t="s">
        <v>185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customFormat="false" ht="15" hidden="false" customHeight="false" outlineLevel="0" collapsed="false">
      <c r="A28" s="9" t="s">
        <v>156</v>
      </c>
      <c r="C28" s="64" t="n">
        <v>450</v>
      </c>
    </row>
    <row r="29" customFormat="false" ht="15" hidden="false" customHeight="false" outlineLevel="0" collapsed="false">
      <c r="A29" s="9" t="s">
        <v>160</v>
      </c>
      <c r="C29" s="64" t="n">
        <v>350</v>
      </c>
    </row>
    <row r="30" customFormat="false" ht="15" hidden="false" customHeight="false" outlineLevel="0" collapsed="false">
      <c r="A30" s="9" t="s">
        <v>146</v>
      </c>
      <c r="C30" s="65" t="n">
        <v>0</v>
      </c>
    </row>
    <row r="31" customFormat="false" ht="15" hidden="false" customHeight="false" outlineLevel="0" collapsed="false">
      <c r="A31" s="9" t="s">
        <v>186</v>
      </c>
      <c r="C31" s="65" t="n">
        <v>0</v>
      </c>
    </row>
    <row r="32" customFormat="false" ht="15" hidden="false" customHeight="false" outlineLevel="0" collapsed="false">
      <c r="A32" s="9" t="s">
        <v>187</v>
      </c>
      <c r="C32" s="64" t="n">
        <v>300</v>
      </c>
    </row>
    <row r="33" customFormat="false" ht="15" hidden="false" customHeight="false" outlineLevel="0" collapsed="false">
      <c r="A33" s="9" t="s">
        <v>188</v>
      </c>
      <c r="C33" s="64" t="n">
        <v>245</v>
      </c>
    </row>
    <row r="34" customFormat="false" ht="15" hidden="false" customHeight="false" outlineLevel="0" collapsed="false">
      <c r="A34" s="66" t="s">
        <v>189</v>
      </c>
    </row>
    <row r="35" customFormat="false" ht="15" hidden="false" customHeight="false" outlineLevel="0" collapsed="false">
      <c r="A35" s="9" t="s">
        <v>190</v>
      </c>
    </row>
    <row r="37" customFormat="false" ht="15" hidden="false" customHeight="false" outlineLevel="0" collapsed="false">
      <c r="A37" s="36" t="s">
        <v>61</v>
      </c>
    </row>
    <row r="38" customFormat="false" ht="15" hidden="false" customHeight="false" outlineLevel="0" collapsed="false">
      <c r="A38" s="3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4" t="s">
        <v>191</v>
      </c>
    </row>
    <row r="2" customFormat="false" ht="15" hidden="false" customHeight="false" outlineLevel="0" collapsed="false">
      <c r="A2" s="14" t="s">
        <v>28</v>
      </c>
    </row>
    <row r="4" customFormat="false" ht="22.35" hidden="false" customHeight="false" outlineLevel="0" collapsed="false">
      <c r="A4" s="15" t="s">
        <v>192</v>
      </c>
      <c r="B4" s="16" t="s">
        <v>30</v>
      </c>
      <c r="C4" s="16" t="s">
        <v>193</v>
      </c>
      <c r="D4" s="16" t="s">
        <v>194</v>
      </c>
      <c r="E4" s="16" t="s">
        <v>195</v>
      </c>
      <c r="F4" s="16" t="s">
        <v>196</v>
      </c>
      <c r="G4" s="16" t="s">
        <v>197</v>
      </c>
    </row>
    <row r="5" customFormat="false" ht="15" hidden="false" customHeight="false" outlineLevel="0" collapsed="false">
      <c r="A5" s="9" t="s">
        <v>77</v>
      </c>
      <c r="B5" s="13" t="s">
        <v>78</v>
      </c>
      <c r="C5" s="67" t="n">
        <v>3.5</v>
      </c>
      <c r="D5" s="68" t="n">
        <f aca="false">Leverage_Ratios!E18</f>
        <v>0.755066079295154</v>
      </c>
      <c r="E5" s="68" t="n">
        <f aca="false">Leverage_Ratios!F18</f>
        <v>0.65525876460768</v>
      </c>
      <c r="F5" s="68" t="n">
        <f aca="false">Leverage_Ratios!G18</f>
        <v>0.513022888713496</v>
      </c>
      <c r="G5" s="43" t="n">
        <f aca="false">C5-D5</f>
        <v>2.74493392070485</v>
      </c>
    </row>
    <row r="6" customFormat="false" ht="15" hidden="false" customHeight="false" outlineLevel="0" collapsed="false">
      <c r="A6" s="9" t="s">
        <v>80</v>
      </c>
      <c r="B6" s="13" t="s">
        <v>78</v>
      </c>
      <c r="C6" s="67" t="n">
        <v>5</v>
      </c>
      <c r="D6" s="68" t="n">
        <f aca="false">Leverage_Ratios!E19</f>
        <v>3.08017621145374</v>
      </c>
      <c r="E6" s="68" t="n">
        <f aca="false">Leverage_Ratios!F19</f>
        <v>2.90066777963272</v>
      </c>
      <c r="F6" s="68" t="n">
        <f aca="false">Leverage_Ratios!G19</f>
        <v>2.67955801104972</v>
      </c>
      <c r="G6" s="43" t="n">
        <f aca="false">C6-D6</f>
        <v>1.91982378854626</v>
      </c>
    </row>
    <row r="7" customFormat="false" ht="15" hidden="false" customHeight="false" outlineLevel="0" collapsed="false">
      <c r="A7" s="9" t="s">
        <v>198</v>
      </c>
      <c r="B7" s="13" t="s">
        <v>78</v>
      </c>
      <c r="C7" s="67" t="n">
        <v>3</v>
      </c>
      <c r="D7" s="68" t="n">
        <f aca="false">Interest_Coverage!E12</f>
        <v>9.86956521739131</v>
      </c>
      <c r="E7" s="68" t="n">
        <f aca="false">Interest_Coverage!F12</f>
        <v>10.8909090909091</v>
      </c>
      <c r="F7" s="68" t="n">
        <f aca="false">Interest_Coverage!G12</f>
        <v>12.0666666666667</v>
      </c>
      <c r="G7" s="43" t="n">
        <f aca="false">D7-C7</f>
        <v>6.86956521739131</v>
      </c>
    </row>
    <row r="8" customFormat="false" ht="15" hidden="false" customHeight="false" outlineLevel="0" collapsed="false">
      <c r="A8" s="9" t="s">
        <v>199</v>
      </c>
      <c r="B8" s="13" t="s">
        <v>39</v>
      </c>
      <c r="C8" s="69" t="n">
        <v>800</v>
      </c>
      <c r="D8" s="39" t="n">
        <f aca="false">EBITDA_Analysis!E18</f>
        <v>1135</v>
      </c>
      <c r="E8" s="39" t="n">
        <f aca="false">EBITDA_Analysis!F18</f>
        <v>1198</v>
      </c>
      <c r="F8" s="39" t="n">
        <f aca="false">EBITDA_Analysis!G18</f>
        <v>1267</v>
      </c>
      <c r="G8" s="26" t="n">
        <f aca="false">D8-C8</f>
        <v>335</v>
      </c>
    </row>
    <row r="9" customFormat="false" ht="15" hidden="false" customHeight="false" outlineLevel="0" collapsed="false">
      <c r="A9" s="9" t="s">
        <v>200</v>
      </c>
      <c r="B9" s="13" t="s">
        <v>39</v>
      </c>
      <c r="C9" s="69" t="n">
        <v>600</v>
      </c>
      <c r="D9" s="39" t="n">
        <f aca="false">-EBITDA_Analysis!E26</f>
        <v>450</v>
      </c>
      <c r="E9" s="39" t="n">
        <f aca="false">-EBITDA_Analysis!F26</f>
        <v>470</v>
      </c>
      <c r="F9" s="39" t="n">
        <f aca="false">-EBITDA_Analysis!G26</f>
        <v>460</v>
      </c>
      <c r="G9" s="26" t="n">
        <f aca="false">C9-D9</f>
        <v>150</v>
      </c>
    </row>
    <row r="10" customFormat="false" ht="15" hidden="false" customHeight="false" outlineLevel="0" collapsed="false">
      <c r="A10" s="33" t="s">
        <v>201</v>
      </c>
      <c r="B10" s="29" t="s">
        <v>45</v>
      </c>
      <c r="C10" s="70" t="n">
        <v>0.75</v>
      </c>
      <c r="D10" s="71" t="n">
        <v>0.55</v>
      </c>
      <c r="E10" s="71" t="n">
        <v>0.52</v>
      </c>
      <c r="F10" s="71" t="n">
        <v>0.5</v>
      </c>
      <c r="G10" s="72" t="n">
        <f aca="false">C10-D10</f>
        <v>0.2</v>
      </c>
    </row>
    <row r="12" customFormat="false" ht="15" hidden="false" customHeight="false" outlineLevel="0" collapsed="false">
      <c r="A12" s="17" t="s">
        <v>202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customFormat="false" ht="15" hidden="false" customHeight="false" outlineLevel="0" collapsed="false">
      <c r="A13" s="19" t="s">
        <v>77</v>
      </c>
      <c r="D13" s="73" t="str">
        <f aca="false">IF(D5&lt;=C5,"PASS","BREACH")</f>
        <v>PASS</v>
      </c>
    </row>
    <row r="14" customFormat="false" ht="15" hidden="false" customHeight="false" outlineLevel="0" collapsed="false">
      <c r="A14" s="19" t="s">
        <v>80</v>
      </c>
      <c r="D14" s="73" t="str">
        <f aca="false">IF(D6&lt;=C6,"PASS","BREACH")</f>
        <v>PASS</v>
      </c>
    </row>
    <row r="15" customFormat="false" ht="15" hidden="false" customHeight="false" outlineLevel="0" collapsed="false">
      <c r="A15" s="19" t="s">
        <v>198</v>
      </c>
      <c r="D15" s="73" t="str">
        <f aca="false">IF(D7&gt;=C7,"PASS","BREACH")</f>
        <v>PASS</v>
      </c>
    </row>
    <row r="16" customFormat="false" ht="15" hidden="false" customHeight="false" outlineLevel="0" collapsed="false">
      <c r="A16" s="19" t="s">
        <v>199</v>
      </c>
      <c r="D16" s="73" t="str">
        <f aca="false">IF(D8&gt;=C8,"PASS","BREACH")</f>
        <v>PASS</v>
      </c>
    </row>
    <row r="17" customFormat="false" ht="15" hidden="false" customHeight="false" outlineLevel="0" collapsed="false">
      <c r="A17" s="19" t="s">
        <v>200</v>
      </c>
      <c r="D17" s="73" t="str">
        <f aca="false">IF(D9&lt;=C9,"PASS","BREACH")</f>
        <v>PASS</v>
      </c>
    </row>
    <row r="18" customFormat="false" ht="15" hidden="false" customHeight="false" outlineLevel="0" collapsed="false">
      <c r="A18" s="19" t="s">
        <v>201</v>
      </c>
      <c r="D18" s="73" t="str">
        <f aca="false">IF(D10&lt;=C10,"PASS","BREACH")</f>
        <v>PASS</v>
      </c>
    </row>
    <row r="20" customFormat="false" ht="15" hidden="false" customHeight="false" outlineLevel="0" collapsed="false">
      <c r="A20" s="42" t="s">
        <v>203</v>
      </c>
    </row>
    <row r="21" customFormat="false" ht="15" hidden="false" customHeight="false" outlineLevel="0" collapsed="false">
      <c r="A21" s="19" t="s">
        <v>204</v>
      </c>
    </row>
    <row r="22" customFormat="false" ht="15" hidden="false" customHeight="false" outlineLevel="0" collapsed="false">
      <c r="A22" s="19" t="s">
        <v>205</v>
      </c>
    </row>
    <row r="24" customFormat="false" ht="15" hidden="false" customHeight="false" outlineLevel="0" collapsed="false">
      <c r="A24" s="36" t="s">
        <v>61</v>
      </c>
    </row>
    <row r="25" customFormat="false" ht="15" hidden="false" customHeight="false" outlineLevel="0" collapsed="false">
      <c r="A25" s="3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4" t="s">
        <v>206</v>
      </c>
    </row>
    <row r="2" customFormat="false" ht="15" hidden="false" customHeight="false" outlineLevel="0" collapsed="false">
      <c r="A2" s="14" t="s">
        <v>28</v>
      </c>
    </row>
    <row r="4" customFormat="false" ht="22.35" hidden="false" customHeight="false" outlineLevel="0" collapsed="false">
      <c r="A4" s="15"/>
      <c r="B4" s="16" t="s">
        <v>30</v>
      </c>
      <c r="C4" s="16" t="s">
        <v>207</v>
      </c>
      <c r="D4" s="16" t="s">
        <v>208</v>
      </c>
      <c r="E4" s="16" t="s">
        <v>209</v>
      </c>
    </row>
    <row r="5" customFormat="false" ht="15" hidden="false" customHeight="false" outlineLevel="0" collapsed="false">
      <c r="A5" s="17" t="s">
        <v>210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customFormat="false" ht="15" hidden="false" customHeight="false" outlineLevel="0" collapsed="false">
      <c r="A6" s="19" t="s">
        <v>211</v>
      </c>
      <c r="C6" s="67" t="n">
        <v>1.5</v>
      </c>
      <c r="D6" s="67" t="n">
        <v>2</v>
      </c>
      <c r="E6" s="67" t="n">
        <v>2.5</v>
      </c>
    </row>
    <row r="7" customFormat="false" ht="15" hidden="false" customHeight="false" outlineLevel="0" collapsed="false">
      <c r="A7" s="19" t="s">
        <v>212</v>
      </c>
      <c r="C7" s="20" t="n">
        <v>1135</v>
      </c>
      <c r="D7" s="20" t="n">
        <v>1135</v>
      </c>
      <c r="E7" s="20" t="n">
        <v>1135</v>
      </c>
    </row>
    <row r="8" customFormat="false" ht="15" hidden="false" customHeight="false" outlineLevel="0" collapsed="false">
      <c r="A8" s="9" t="s">
        <v>213</v>
      </c>
      <c r="C8" s="26" t="n">
        <f aca="false">C6*C7</f>
        <v>1702.5</v>
      </c>
      <c r="D8" s="26" t="n">
        <f aca="false">D6*D7</f>
        <v>2270</v>
      </c>
      <c r="E8" s="26" t="n">
        <f aca="false">E6*E7</f>
        <v>2837.5</v>
      </c>
    </row>
    <row r="9" customFormat="false" ht="15" hidden="false" customHeight="false" outlineLevel="0" collapsed="false">
      <c r="A9" s="22" t="s">
        <v>214</v>
      </c>
      <c r="B9" s="32"/>
      <c r="C9" s="24" t="n">
        <v>857</v>
      </c>
      <c r="D9" s="24" t="n">
        <v>857</v>
      </c>
      <c r="E9" s="24" t="n">
        <v>857</v>
      </c>
    </row>
    <row r="10" customFormat="false" ht="15" hidden="false" customHeight="false" outlineLevel="0" collapsed="false">
      <c r="A10" s="74" t="s">
        <v>215</v>
      </c>
      <c r="B10" s="34"/>
      <c r="C10" s="63" t="n">
        <f aca="false">C8-C9</f>
        <v>845.5</v>
      </c>
      <c r="D10" s="63" t="n">
        <f aca="false">D8-D9</f>
        <v>1413</v>
      </c>
      <c r="E10" s="63" t="n">
        <f aca="false">E8-E9</f>
        <v>1980.5</v>
      </c>
    </row>
    <row r="12" customFormat="false" ht="15" hidden="false" customHeight="false" outlineLevel="0" collapsed="false">
      <c r="A12" s="17" t="s">
        <v>216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customFormat="false" ht="15" hidden="false" customHeight="false" outlineLevel="0" collapsed="false">
      <c r="A13" s="15" t="s">
        <v>217</v>
      </c>
      <c r="B13" s="16"/>
      <c r="C13" s="16" t="s">
        <v>218</v>
      </c>
      <c r="D13" s="16" t="s">
        <v>219</v>
      </c>
      <c r="E13" s="16" t="s">
        <v>220</v>
      </c>
    </row>
    <row r="14" customFormat="false" ht="15" hidden="false" customHeight="false" outlineLevel="0" collapsed="false">
      <c r="A14" s="20" t="n">
        <v>1000</v>
      </c>
      <c r="C14" s="75" t="n">
        <v>643</v>
      </c>
      <c r="D14" s="76" t="n">
        <v>1143</v>
      </c>
      <c r="E14" s="76" t="n">
        <v>1643</v>
      </c>
    </row>
    <row r="15" customFormat="false" ht="15" hidden="false" customHeight="false" outlineLevel="0" collapsed="false">
      <c r="A15" s="20" t="n">
        <v>1050</v>
      </c>
      <c r="C15" s="75" t="n">
        <v>718</v>
      </c>
      <c r="D15" s="76" t="n">
        <v>1243</v>
      </c>
      <c r="E15" s="76" t="n">
        <v>1768</v>
      </c>
    </row>
    <row r="16" customFormat="false" ht="15" hidden="false" customHeight="false" outlineLevel="0" collapsed="false">
      <c r="A16" s="20" t="n">
        <v>1100</v>
      </c>
      <c r="C16" s="75" t="n">
        <v>793</v>
      </c>
      <c r="D16" s="76" t="n">
        <v>1343</v>
      </c>
      <c r="E16" s="76" t="n">
        <v>1893</v>
      </c>
    </row>
    <row r="17" customFormat="false" ht="15" hidden="false" customHeight="false" outlineLevel="0" collapsed="false">
      <c r="A17" s="77" t="n">
        <v>1135</v>
      </c>
      <c r="C17" s="75" t="n">
        <v>845.5</v>
      </c>
      <c r="D17" s="76" t="n">
        <v>1413</v>
      </c>
      <c r="E17" s="76" t="n">
        <v>1980.5</v>
      </c>
    </row>
    <row r="18" customFormat="false" ht="15" hidden="false" customHeight="false" outlineLevel="0" collapsed="false">
      <c r="A18" s="20" t="n">
        <v>1200</v>
      </c>
      <c r="C18" s="75" t="n">
        <v>943</v>
      </c>
      <c r="D18" s="76" t="n">
        <v>1543</v>
      </c>
      <c r="E18" s="76" t="n">
        <v>2143</v>
      </c>
    </row>
    <row r="19" customFormat="false" ht="15" hidden="false" customHeight="false" outlineLevel="0" collapsed="false">
      <c r="A19" s="59" t="n">
        <v>1300</v>
      </c>
      <c r="B19" s="46"/>
      <c r="C19" s="78" t="n">
        <v>1093</v>
      </c>
      <c r="D19" s="78" t="n">
        <v>1743</v>
      </c>
      <c r="E19" s="78" t="n">
        <v>2393</v>
      </c>
    </row>
    <row r="21" customFormat="false" ht="15" hidden="false" customHeight="false" outlineLevel="0" collapsed="false">
      <c r="A21" s="17" t="s">
        <v>221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customFormat="false" ht="15" hidden="false" customHeight="false" outlineLevel="0" collapsed="false">
      <c r="A22" s="19" t="s">
        <v>222</v>
      </c>
      <c r="C22" s="20" t="n">
        <v>720</v>
      </c>
      <c r="E22" s="11" t="s">
        <v>223</v>
      </c>
    </row>
    <row r="23" customFormat="false" ht="15" hidden="false" customHeight="false" outlineLevel="0" collapsed="false">
      <c r="A23" s="19" t="s">
        <v>224</v>
      </c>
      <c r="C23" s="20" t="n">
        <v>200</v>
      </c>
      <c r="E23" s="11" t="s">
        <v>225</v>
      </c>
    </row>
    <row r="24" customFormat="false" ht="15" hidden="false" customHeight="false" outlineLevel="0" collapsed="false">
      <c r="A24" s="19" t="s">
        <v>226</v>
      </c>
      <c r="C24" s="20" t="n">
        <v>300</v>
      </c>
      <c r="E24" s="11" t="s">
        <v>227</v>
      </c>
    </row>
    <row r="25" customFormat="false" ht="15" hidden="false" customHeight="false" outlineLevel="0" collapsed="false">
      <c r="A25" s="19" t="s">
        <v>228</v>
      </c>
      <c r="C25" s="20" t="n">
        <v>200</v>
      </c>
      <c r="E25" s="11" t="s">
        <v>229</v>
      </c>
    </row>
    <row r="27" customFormat="false" ht="15" hidden="false" customHeight="false" outlineLevel="0" collapsed="false">
      <c r="A27" s="36" t="s">
        <v>61</v>
      </c>
    </row>
    <row r="28" customFormat="false" ht="15" hidden="false" customHeight="false" outlineLevel="0" collapsed="false">
      <c r="A28" s="3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6600"/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4" t="s">
        <v>230</v>
      </c>
    </row>
    <row r="2" customFormat="false" ht="15" hidden="false" customHeight="false" outlineLevel="0" collapsed="false">
      <c r="A2" s="14" t="s">
        <v>28</v>
      </c>
    </row>
    <row r="4" customFormat="false" ht="15" hidden="false" customHeight="false" outlineLevel="0" collapsed="false">
      <c r="A4" s="9" t="s">
        <v>231</v>
      </c>
    </row>
    <row r="5" customFormat="false" ht="32.8" hidden="false" customHeight="false" outlineLevel="0" collapsed="false">
      <c r="A5" s="15" t="s">
        <v>232</v>
      </c>
      <c r="B5" s="16" t="s">
        <v>233</v>
      </c>
      <c r="C5" s="16" t="s">
        <v>234</v>
      </c>
      <c r="D5" s="16" t="s">
        <v>235</v>
      </c>
      <c r="E5" s="16" t="s">
        <v>236</v>
      </c>
      <c r="F5" s="16" t="s">
        <v>237</v>
      </c>
    </row>
    <row r="6" customFormat="false" ht="15" hidden="false" customHeight="false" outlineLevel="0" collapsed="false">
      <c r="A6" s="43" t="n">
        <v>0.5</v>
      </c>
      <c r="B6" s="79" t="n">
        <v>55</v>
      </c>
      <c r="C6" s="79" t="n">
        <v>80</v>
      </c>
      <c r="D6" s="79" t="n">
        <v>95</v>
      </c>
      <c r="E6" s="79" t="n">
        <v>115</v>
      </c>
      <c r="F6" s="42" t="s">
        <v>238</v>
      </c>
    </row>
    <row r="7" customFormat="false" ht="15" hidden="false" customHeight="false" outlineLevel="0" collapsed="false">
      <c r="A7" s="80" t="n">
        <v>1</v>
      </c>
      <c r="B7" s="81" t="n">
        <v>65</v>
      </c>
      <c r="C7" s="81" t="n">
        <v>95</v>
      </c>
      <c r="D7" s="81" t="n">
        <v>110</v>
      </c>
      <c r="E7" s="81" t="n">
        <v>130</v>
      </c>
      <c r="F7" s="82" t="s">
        <v>239</v>
      </c>
    </row>
    <row r="8" customFormat="false" ht="15" hidden="false" customHeight="false" outlineLevel="0" collapsed="false">
      <c r="A8" s="43" t="n">
        <v>1.5</v>
      </c>
      <c r="B8" s="79" t="n">
        <v>80</v>
      </c>
      <c r="C8" s="79" t="n">
        <v>115</v>
      </c>
      <c r="D8" s="79" t="n">
        <v>135</v>
      </c>
      <c r="E8" s="79" t="n">
        <v>155</v>
      </c>
      <c r="F8" s="42" t="s">
        <v>240</v>
      </c>
    </row>
    <row r="9" customFormat="false" ht="15" hidden="false" customHeight="false" outlineLevel="0" collapsed="false">
      <c r="A9" s="43" t="n">
        <v>2</v>
      </c>
      <c r="B9" s="79" t="n">
        <v>100</v>
      </c>
      <c r="C9" s="79" t="n">
        <v>140</v>
      </c>
      <c r="D9" s="79" t="n">
        <v>165</v>
      </c>
      <c r="E9" s="79" t="n">
        <v>190</v>
      </c>
      <c r="F9" s="42" t="s">
        <v>107</v>
      </c>
    </row>
    <row r="10" customFormat="false" ht="15" hidden="false" customHeight="false" outlineLevel="0" collapsed="false">
      <c r="A10" s="43" t="n">
        <v>2.5</v>
      </c>
      <c r="B10" s="79" t="n">
        <v>130</v>
      </c>
      <c r="C10" s="79" t="n">
        <v>175</v>
      </c>
      <c r="D10" s="79" t="n">
        <v>205</v>
      </c>
      <c r="E10" s="79" t="n">
        <v>240</v>
      </c>
      <c r="F10" s="42" t="s">
        <v>97</v>
      </c>
    </row>
    <row r="11" customFormat="false" ht="15" hidden="false" customHeight="false" outlineLevel="0" collapsed="false">
      <c r="A11" s="43" t="n">
        <v>3</v>
      </c>
      <c r="B11" s="79" t="n">
        <v>175</v>
      </c>
      <c r="C11" s="79" t="n">
        <v>235</v>
      </c>
      <c r="D11" s="79" t="n">
        <v>275</v>
      </c>
      <c r="E11" s="79" t="n">
        <v>320</v>
      </c>
      <c r="F11" s="56" t="s">
        <v>241</v>
      </c>
    </row>
    <row r="12" customFormat="false" ht="15" hidden="false" customHeight="false" outlineLevel="0" collapsed="false">
      <c r="A12" s="43" t="n">
        <v>3.5</v>
      </c>
      <c r="B12" s="79" t="n">
        <v>240</v>
      </c>
      <c r="C12" s="79" t="n">
        <v>320</v>
      </c>
      <c r="D12" s="79" t="n">
        <v>380</v>
      </c>
      <c r="E12" s="79" t="n">
        <v>440</v>
      </c>
      <c r="F12" s="66" t="s">
        <v>242</v>
      </c>
    </row>
    <row r="13" customFormat="false" ht="15" hidden="false" customHeight="false" outlineLevel="0" collapsed="false">
      <c r="A13" s="83" t="n">
        <v>4</v>
      </c>
      <c r="B13" s="84" t="n">
        <v>325</v>
      </c>
      <c r="C13" s="84" t="n">
        <v>430</v>
      </c>
      <c r="D13" s="84" t="n">
        <v>500</v>
      </c>
      <c r="E13" s="84" t="n">
        <v>575</v>
      </c>
      <c r="F13" s="85" t="s">
        <v>243</v>
      </c>
    </row>
    <row r="15" customFormat="false" ht="15" hidden="false" customHeight="false" outlineLevel="0" collapsed="false">
      <c r="A15" s="17" t="s">
        <v>244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customFormat="false" ht="15" hidden="false" customHeight="false" outlineLevel="0" collapsed="false">
      <c r="A16" s="19" t="s">
        <v>245</v>
      </c>
      <c r="B16" s="43" t="n">
        <v>0.8</v>
      </c>
    </row>
    <row r="17" customFormat="false" ht="15" hidden="false" customHeight="false" outlineLevel="0" collapsed="false">
      <c r="A17" s="19" t="s">
        <v>246</v>
      </c>
      <c r="B17" s="86" t="n">
        <v>0.035</v>
      </c>
    </row>
    <row r="18" customFormat="false" ht="15" hidden="false" customHeight="false" outlineLevel="0" collapsed="false">
      <c r="A18" s="9" t="s">
        <v>247</v>
      </c>
      <c r="B18" s="87" t="n">
        <f aca="false">B17*(1-0.2)</f>
        <v>0.028</v>
      </c>
    </row>
    <row r="19" customFormat="false" ht="15" hidden="false" customHeight="false" outlineLevel="0" collapsed="false">
      <c r="A19" s="19" t="s">
        <v>248</v>
      </c>
      <c r="B19" s="88" t="n">
        <v>0.2</v>
      </c>
    </row>
    <row r="21" customFormat="false" ht="15" hidden="false" customHeight="false" outlineLevel="0" collapsed="false">
      <c r="A21" s="17" t="s">
        <v>249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customFormat="false" ht="15" hidden="false" customHeight="false" outlineLevel="0" collapsed="false">
      <c r="A22" s="19" t="s">
        <v>250</v>
      </c>
      <c r="B22" s="20" t="n">
        <v>800</v>
      </c>
    </row>
    <row r="23" customFormat="false" ht="15" hidden="false" customHeight="false" outlineLevel="0" collapsed="false">
      <c r="A23" s="19" t="s">
        <v>251</v>
      </c>
      <c r="B23" s="19" t="s">
        <v>252</v>
      </c>
    </row>
    <row r="24" customFormat="false" ht="15" hidden="false" customHeight="false" outlineLevel="0" collapsed="false">
      <c r="A24" s="19" t="s">
        <v>253</v>
      </c>
      <c r="B24" s="86" t="n">
        <v>0.0265</v>
      </c>
    </row>
    <row r="25" customFormat="false" ht="15" hidden="false" customHeight="false" outlineLevel="0" collapsed="false">
      <c r="A25" s="19" t="s">
        <v>254</v>
      </c>
      <c r="B25" s="89" t="n">
        <v>0.0095</v>
      </c>
    </row>
    <row r="26" customFormat="false" ht="15" hidden="false" customHeight="false" outlineLevel="0" collapsed="false">
      <c r="A26" s="9" t="s">
        <v>255</v>
      </c>
      <c r="B26" s="87" t="n">
        <f aca="false">B24+B25</f>
        <v>0.036</v>
      </c>
    </row>
    <row r="27" customFormat="false" ht="15" hidden="false" customHeight="false" outlineLevel="0" collapsed="false">
      <c r="A27" s="9" t="s">
        <v>256</v>
      </c>
      <c r="B27" s="26" t="n">
        <f aca="false">B22*B26</f>
        <v>28.8</v>
      </c>
    </row>
    <row r="28" customFormat="false" ht="15" hidden="false" customHeight="false" outlineLevel="0" collapsed="false">
      <c r="A28" s="19" t="s">
        <v>257</v>
      </c>
      <c r="B28" s="86" t="n">
        <v>0.028</v>
      </c>
    </row>
    <row r="29" customFormat="false" ht="15" hidden="false" customHeight="false" outlineLevel="0" collapsed="false">
      <c r="A29" s="66" t="s">
        <v>258</v>
      </c>
      <c r="B29" s="90" t="n">
        <f aca="false">B22*(B26-B28)</f>
        <v>6.4</v>
      </c>
    </row>
    <row r="31" customFormat="false" ht="15" hidden="false" customHeight="false" outlineLevel="0" collapsed="false">
      <c r="A31" s="36" t="s">
        <v>61</v>
      </c>
    </row>
    <row r="32" customFormat="false" ht="15" hidden="false" customHeight="false" outlineLevel="0" collapsed="false">
      <c r="A32" s="3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2026-03-18T02:54:48Z</dcterms:created>
  <dc:creator>openpyxl</dc:creator>
  <dc:description/>
  <dc:language>en-US</dc:language>
  <cp:lastModifiedBy/>
  <dcterms:modified xsi:type="dcterms:W3CDTF">2026-03-18T02:54:48Z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